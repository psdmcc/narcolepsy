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6.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ate1904="1" codeName="ThisWorkbook" defaultThemeVersion="166925"/>
  <mc:AlternateContent xmlns:mc="http://schemas.openxmlformats.org/markup-compatibility/2006">
    <mc:Choice Requires="x15">
      <x15ac:absPath xmlns:x15ac="http://schemas.microsoft.com/office/spreadsheetml/2010/11/ac" url="/Users/croma/Desktop/narcolepsy/"/>
    </mc:Choice>
  </mc:AlternateContent>
  <xr:revisionPtr revIDLastSave="0" documentId="13_ncr:1_{7CEBE1CF-C63D-8844-BF58-A58B530C4DCE}" xr6:coauthVersionLast="45" xr6:coauthVersionMax="45" xr10:uidLastSave="{00000000-0000-0000-0000-000000000000}"/>
  <bookViews>
    <workbookView xWindow="740" yWindow="460" windowWidth="26760" windowHeight="17200" activeTab="1" xr2:uid="{00000000-000D-0000-FFFF-FFFF00000000}"/>
  </bookViews>
  <sheets>
    <sheet name="Instructions" sheetId="9" r:id="rId1"/>
    <sheet name="Week 1" sheetId="2" r:id="rId2"/>
    <sheet name="Week 2" sheetId="3" r:id="rId3"/>
    <sheet name="Week 3" sheetId="4" r:id="rId4"/>
    <sheet name="Week 4" sheetId="5" r:id="rId5"/>
    <sheet name="Week 5" sheetId="6" r:id="rId6"/>
    <sheet name="Week 6" sheetId="7" r:id="rId7"/>
    <sheet name="calculations" sheetId="8" state="hidden" r:id="rId8"/>
    <sheet name="examples" sheetId="1" state="hidden" r:id="rId9"/>
  </sheets>
  <definedNames>
    <definedName name="_xlnm.Print_Area" localSheetId="0">Instructions!$A$1:$AA$89</definedName>
    <definedName name="_xlnm.Print_Area" localSheetId="1">'Week 1'!$A$1:$O$36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5" i="9" l="1"/>
  <c r="C34" i="9"/>
  <c r="C29" i="9"/>
  <c r="C28" i="9"/>
  <c r="C22" i="9"/>
  <c r="C9" i="9"/>
  <c r="C36" i="9" l="1"/>
  <c r="C20" i="9"/>
  <c r="C31" i="9"/>
  <c r="C27" i="9"/>
  <c r="C26" i="9"/>
  <c r="C37" i="9"/>
  <c r="C23" i="9"/>
  <c r="C15" i="9"/>
  <c r="C13" i="9"/>
  <c r="C12" i="9"/>
  <c r="C11" i="9"/>
  <c r="C10" i="9"/>
  <c r="C8" i="9"/>
  <c r="C43" i="9" l="1"/>
  <c r="C44" i="9"/>
  <c r="E8" i="8" l="1"/>
  <c r="E7" i="8"/>
  <c r="C14" i="9"/>
  <c r="D8" i="8"/>
  <c r="C30" i="9" l="1"/>
  <c r="C21" i="9"/>
  <c r="R186" i="8" l="1"/>
  <c r="R187" i="8"/>
  <c r="R188" i="8"/>
  <c r="R185" i="8"/>
  <c r="R149" i="8"/>
  <c r="B185" i="8"/>
  <c r="C185" i="8"/>
  <c r="D185" i="8"/>
  <c r="E185" i="8"/>
  <c r="F185" i="8"/>
  <c r="G185" i="8"/>
  <c r="H185" i="8"/>
  <c r="I185" i="8"/>
  <c r="J185" i="8"/>
  <c r="K185" i="8"/>
  <c r="L185" i="8"/>
  <c r="B186" i="8"/>
  <c r="C186" i="8"/>
  <c r="D186" i="8"/>
  <c r="E186" i="8"/>
  <c r="F186" i="8"/>
  <c r="G186" i="8"/>
  <c r="H186" i="8"/>
  <c r="I186" i="8"/>
  <c r="J186" i="8"/>
  <c r="K186" i="8"/>
  <c r="L186" i="8"/>
  <c r="B187" i="8"/>
  <c r="C187" i="8"/>
  <c r="D187" i="8"/>
  <c r="D196" i="8" s="1"/>
  <c r="E187" i="8"/>
  <c r="E196" i="8" s="1"/>
  <c r="F187" i="8"/>
  <c r="F196" i="8" s="1"/>
  <c r="G187" i="8"/>
  <c r="G196" i="8" s="1"/>
  <c r="H187" i="8"/>
  <c r="H196" i="8" s="1"/>
  <c r="I187" i="8"/>
  <c r="I196" i="8" s="1"/>
  <c r="J187" i="8"/>
  <c r="J196" i="8" s="1"/>
  <c r="K187" i="8"/>
  <c r="K196" i="8" s="1"/>
  <c r="L187" i="8"/>
  <c r="B188" i="8"/>
  <c r="C188" i="8"/>
  <c r="D188" i="8"/>
  <c r="E188" i="8"/>
  <c r="E197" i="8" s="1"/>
  <c r="F188" i="8"/>
  <c r="F197" i="8" s="1"/>
  <c r="G188" i="8"/>
  <c r="H188" i="8"/>
  <c r="I188" i="8"/>
  <c r="I197" i="8" s="1"/>
  <c r="J188" i="8"/>
  <c r="K188" i="8"/>
  <c r="K197" i="8" s="1"/>
  <c r="L188" i="8"/>
  <c r="B189" i="8"/>
  <c r="C189" i="8"/>
  <c r="D189" i="8"/>
  <c r="E189" i="8"/>
  <c r="F189" i="8"/>
  <c r="G189" i="8"/>
  <c r="H189" i="8"/>
  <c r="I189" i="8"/>
  <c r="J189" i="8"/>
  <c r="K189" i="8"/>
  <c r="L189" i="8"/>
  <c r="B190" i="8"/>
  <c r="C190" i="8"/>
  <c r="D190" i="8"/>
  <c r="E190" i="8"/>
  <c r="F190" i="8"/>
  <c r="G190" i="8"/>
  <c r="H190" i="8"/>
  <c r="I190" i="8"/>
  <c r="J190" i="8"/>
  <c r="K190" i="8"/>
  <c r="L190" i="8"/>
  <c r="B191" i="8"/>
  <c r="C191" i="8"/>
  <c r="D191" i="8"/>
  <c r="E191" i="8"/>
  <c r="F191" i="8"/>
  <c r="G191" i="8"/>
  <c r="H191" i="8"/>
  <c r="I191" i="8"/>
  <c r="J191" i="8"/>
  <c r="K191" i="8"/>
  <c r="L191" i="8"/>
  <c r="B192" i="8"/>
  <c r="C192" i="8"/>
  <c r="D192" i="8"/>
  <c r="D198" i="8" s="1"/>
  <c r="E192" i="8"/>
  <c r="E198" i="8" s="1"/>
  <c r="F192" i="8"/>
  <c r="F198" i="8" s="1"/>
  <c r="G192" i="8"/>
  <c r="G198" i="8" s="1"/>
  <c r="H192" i="8"/>
  <c r="H198" i="8" s="1"/>
  <c r="I192" i="8"/>
  <c r="I198" i="8" s="1"/>
  <c r="J192" i="8"/>
  <c r="J198" i="8" s="1"/>
  <c r="K192" i="8"/>
  <c r="K198" i="8" s="1"/>
  <c r="L192" i="8"/>
  <c r="B193" i="8"/>
  <c r="C193" i="8"/>
  <c r="D193" i="8"/>
  <c r="D199" i="8" s="1"/>
  <c r="E193" i="8"/>
  <c r="E199" i="8" s="1"/>
  <c r="F193" i="8"/>
  <c r="F199" i="8" s="1"/>
  <c r="G193" i="8"/>
  <c r="G199" i="8" s="1"/>
  <c r="H193" i="8"/>
  <c r="H199" i="8" s="1"/>
  <c r="I193" i="8"/>
  <c r="J193" i="8"/>
  <c r="J202" i="8" s="1"/>
  <c r="K32" i="7" s="1"/>
  <c r="K193" i="8"/>
  <c r="K199" i="8" s="1"/>
  <c r="L193" i="8"/>
  <c r="B194" i="8"/>
  <c r="C194" i="8"/>
  <c r="D194" i="8"/>
  <c r="E194" i="8"/>
  <c r="F194" i="8"/>
  <c r="G194" i="8"/>
  <c r="H194" i="8"/>
  <c r="I194" i="8"/>
  <c r="J194" i="8"/>
  <c r="K194" i="8"/>
  <c r="L194" i="8"/>
  <c r="C184" i="8"/>
  <c r="D184" i="8"/>
  <c r="E184" i="8"/>
  <c r="F184" i="8"/>
  <c r="G184" i="8"/>
  <c r="H184" i="8"/>
  <c r="I184" i="8"/>
  <c r="J184" i="8"/>
  <c r="K184" i="8"/>
  <c r="L184" i="8"/>
  <c r="B184" i="8"/>
  <c r="J199" i="8"/>
  <c r="R150" i="8"/>
  <c r="R151" i="8"/>
  <c r="R152" i="8"/>
  <c r="R113" i="8"/>
  <c r="B149" i="8"/>
  <c r="C149" i="8"/>
  <c r="D149" i="8"/>
  <c r="E149" i="8"/>
  <c r="F149" i="8"/>
  <c r="G149" i="8"/>
  <c r="H149" i="8"/>
  <c r="I149" i="8"/>
  <c r="J149" i="8"/>
  <c r="K149" i="8"/>
  <c r="L149" i="8"/>
  <c r="B150" i="8"/>
  <c r="C150" i="8"/>
  <c r="D150" i="8"/>
  <c r="E150" i="8"/>
  <c r="F150" i="8"/>
  <c r="G150" i="8"/>
  <c r="H150" i="8"/>
  <c r="I150" i="8"/>
  <c r="J150" i="8"/>
  <c r="K150" i="8"/>
  <c r="L150" i="8"/>
  <c r="B151" i="8"/>
  <c r="C151" i="8"/>
  <c r="D151" i="8"/>
  <c r="D160" i="8" s="1"/>
  <c r="E151" i="8"/>
  <c r="E160" i="8" s="1"/>
  <c r="F151" i="8"/>
  <c r="F160" i="8" s="1"/>
  <c r="G151" i="8"/>
  <c r="G160" i="8" s="1"/>
  <c r="H151" i="8"/>
  <c r="H160" i="8" s="1"/>
  <c r="I151" i="8"/>
  <c r="I160" i="8" s="1"/>
  <c r="J151" i="8"/>
  <c r="J160" i="8" s="1"/>
  <c r="K151" i="8"/>
  <c r="K160" i="8" s="1"/>
  <c r="L151" i="8"/>
  <c r="B152" i="8"/>
  <c r="C152" i="8"/>
  <c r="D152" i="8"/>
  <c r="D161" i="8" s="1"/>
  <c r="E152" i="8"/>
  <c r="F152" i="8"/>
  <c r="F161" i="8" s="1"/>
  <c r="G152" i="8"/>
  <c r="H152" i="8"/>
  <c r="I152" i="8"/>
  <c r="I161" i="8" s="1"/>
  <c r="J152" i="8"/>
  <c r="J161" i="8" s="1"/>
  <c r="K152" i="8"/>
  <c r="L152" i="8"/>
  <c r="B153" i="8"/>
  <c r="C153" i="8"/>
  <c r="D153" i="8"/>
  <c r="E153" i="8"/>
  <c r="F153" i="8"/>
  <c r="G153" i="8"/>
  <c r="H153" i="8"/>
  <c r="I153" i="8"/>
  <c r="J153" i="8"/>
  <c r="K153" i="8"/>
  <c r="L153" i="8"/>
  <c r="B154" i="8"/>
  <c r="C154" i="8"/>
  <c r="D154" i="8"/>
  <c r="E154" i="8"/>
  <c r="F154" i="8"/>
  <c r="G154" i="8"/>
  <c r="H154" i="8"/>
  <c r="I154" i="8"/>
  <c r="J154" i="8"/>
  <c r="K154" i="8"/>
  <c r="L154" i="8"/>
  <c r="B155" i="8"/>
  <c r="C155" i="8"/>
  <c r="D155" i="8"/>
  <c r="E155" i="8"/>
  <c r="F155" i="8"/>
  <c r="G155" i="8"/>
  <c r="H155" i="8"/>
  <c r="I155" i="8"/>
  <c r="J155" i="8"/>
  <c r="K155" i="8"/>
  <c r="L155" i="8"/>
  <c r="B156" i="8"/>
  <c r="C156" i="8"/>
  <c r="D156" i="8"/>
  <c r="D162" i="8" s="1"/>
  <c r="E156" i="8"/>
  <c r="E162" i="8" s="1"/>
  <c r="F156" i="8"/>
  <c r="F162" i="8" s="1"/>
  <c r="G156" i="8"/>
  <c r="G162" i="8" s="1"/>
  <c r="H156" i="8"/>
  <c r="H162" i="8" s="1"/>
  <c r="I156" i="8"/>
  <c r="I162" i="8" s="1"/>
  <c r="J156" i="8"/>
  <c r="J162" i="8" s="1"/>
  <c r="K156" i="8"/>
  <c r="K162" i="8" s="1"/>
  <c r="L156" i="8"/>
  <c r="B157" i="8"/>
  <c r="C157" i="8"/>
  <c r="D157" i="8"/>
  <c r="E157" i="8"/>
  <c r="E163" i="8" s="1"/>
  <c r="F157" i="8"/>
  <c r="F163" i="8" s="1"/>
  <c r="G157" i="8"/>
  <c r="G163" i="8" s="1"/>
  <c r="H157" i="8"/>
  <c r="H163" i="8" s="1"/>
  <c r="I157" i="8"/>
  <c r="J157" i="8"/>
  <c r="J163" i="8" s="1"/>
  <c r="K157" i="8"/>
  <c r="L157" i="8"/>
  <c r="B158" i="8"/>
  <c r="C158" i="8"/>
  <c r="D158" i="8"/>
  <c r="E158" i="8"/>
  <c r="F158" i="8"/>
  <c r="G158" i="8"/>
  <c r="H158" i="8"/>
  <c r="I158" i="8"/>
  <c r="J158" i="8"/>
  <c r="K158" i="8"/>
  <c r="L158" i="8"/>
  <c r="C148" i="8"/>
  <c r="D148" i="8"/>
  <c r="E148" i="8"/>
  <c r="F148" i="8"/>
  <c r="G148" i="8"/>
  <c r="H148" i="8"/>
  <c r="I148" i="8"/>
  <c r="J148" i="8"/>
  <c r="K148" i="8"/>
  <c r="L148" i="8"/>
  <c r="B148" i="8"/>
  <c r="J166" i="8"/>
  <c r="K32" i="6" s="1"/>
  <c r="K161" i="8"/>
  <c r="D163" i="8"/>
  <c r="R189" i="8" l="1"/>
  <c r="G202" i="8"/>
  <c r="H32" i="7" s="1"/>
  <c r="H202" i="8"/>
  <c r="I32" i="7" s="1"/>
  <c r="D202" i="8"/>
  <c r="E32" i="7" s="1"/>
  <c r="H166" i="8"/>
  <c r="I32" i="6" s="1"/>
  <c r="K164" i="8"/>
  <c r="G166" i="8"/>
  <c r="H32" i="6" s="1"/>
  <c r="E166" i="8"/>
  <c r="F32" i="6" s="1"/>
  <c r="J200" i="8"/>
  <c r="J201" i="8" s="1"/>
  <c r="J203" i="8" s="1"/>
  <c r="J164" i="8"/>
  <c r="I166" i="8"/>
  <c r="J32" i="6" s="1"/>
  <c r="P153" i="8"/>
  <c r="N190" i="8"/>
  <c r="O186" i="8"/>
  <c r="J197" i="8"/>
  <c r="O194" i="8"/>
  <c r="P191" i="8"/>
  <c r="I202" i="8"/>
  <c r="J32" i="7" s="1"/>
  <c r="N189" i="8"/>
  <c r="O191" i="8"/>
  <c r="P190" i="8"/>
  <c r="M185" i="8"/>
  <c r="D212" i="8" s="1"/>
  <c r="E42" i="7" s="1"/>
  <c r="I199" i="8"/>
  <c r="P199" i="8" s="1"/>
  <c r="P193" i="8" s="1"/>
  <c r="O196" i="8"/>
  <c r="O187" i="8" s="1"/>
  <c r="N196" i="8"/>
  <c r="N187" i="8" s="1"/>
  <c r="P196" i="8"/>
  <c r="P187" i="8" s="1"/>
  <c r="D200" i="8"/>
  <c r="K200" i="8"/>
  <c r="N198" i="8"/>
  <c r="N192" i="8" s="1"/>
  <c r="O189" i="8"/>
  <c r="E200" i="8"/>
  <c r="E202" i="8"/>
  <c r="F32" i="7" s="1"/>
  <c r="P189" i="8"/>
  <c r="P194" i="8"/>
  <c r="D197" i="8"/>
  <c r="G200" i="8"/>
  <c r="G201" i="8" s="1"/>
  <c r="G203" i="8" s="1"/>
  <c r="P186" i="8"/>
  <c r="G197" i="8"/>
  <c r="H200" i="8"/>
  <c r="F202" i="8"/>
  <c r="G32" i="7" s="1"/>
  <c r="O190" i="8"/>
  <c r="N194" i="8"/>
  <c r="P198" i="8"/>
  <c r="P192" i="8" s="1"/>
  <c r="N186" i="8"/>
  <c r="N191" i="8"/>
  <c r="H197" i="8"/>
  <c r="I200" i="8"/>
  <c r="O198" i="8"/>
  <c r="O192" i="8" s="1"/>
  <c r="K202" i="8"/>
  <c r="L32" i="7" s="1"/>
  <c r="F200" i="8"/>
  <c r="R153" i="8"/>
  <c r="P158" i="8"/>
  <c r="O155" i="8"/>
  <c r="P150" i="8"/>
  <c r="P155" i="8"/>
  <c r="M149" i="8"/>
  <c r="N154" i="8"/>
  <c r="P154" i="8"/>
  <c r="I163" i="8"/>
  <c r="O163" i="8" s="1"/>
  <c r="O157" i="8" s="1"/>
  <c r="J165" i="8"/>
  <c r="J167" i="8" s="1"/>
  <c r="O160" i="8"/>
  <c r="O151" i="8" s="1"/>
  <c r="N160" i="8"/>
  <c r="N151" i="8" s="1"/>
  <c r="P160" i="8"/>
  <c r="P151" i="8" s="1"/>
  <c r="O154" i="8"/>
  <c r="N158" i="8"/>
  <c r="N162" i="8"/>
  <c r="N156" i="8" s="1"/>
  <c r="D164" i="8"/>
  <c r="E164" i="8"/>
  <c r="K166" i="8"/>
  <c r="L32" i="6" s="1"/>
  <c r="N153" i="8"/>
  <c r="O153" i="8"/>
  <c r="O158" i="8"/>
  <c r="P162" i="8"/>
  <c r="P156" i="8" s="1"/>
  <c r="N150" i="8"/>
  <c r="E161" i="8"/>
  <c r="K163" i="8"/>
  <c r="F164" i="8"/>
  <c r="D166" i="8"/>
  <c r="E32" i="6" s="1"/>
  <c r="O150" i="8"/>
  <c r="O162" i="8"/>
  <c r="O156" i="8" s="1"/>
  <c r="G161" i="8"/>
  <c r="H164" i="8"/>
  <c r="F166" i="8"/>
  <c r="G164" i="8"/>
  <c r="N155" i="8"/>
  <c r="H161" i="8"/>
  <c r="I164" i="8"/>
  <c r="S42" i="8"/>
  <c r="R115" i="8"/>
  <c r="R116" i="8"/>
  <c r="R114" i="8"/>
  <c r="B113" i="8"/>
  <c r="C113" i="8"/>
  <c r="D113" i="8"/>
  <c r="E113" i="8"/>
  <c r="F113" i="8"/>
  <c r="G113" i="8"/>
  <c r="H113" i="8"/>
  <c r="I113" i="8"/>
  <c r="J113" i="8"/>
  <c r="K113" i="8"/>
  <c r="L113" i="8"/>
  <c r="B114" i="8"/>
  <c r="C114" i="8"/>
  <c r="D114" i="8"/>
  <c r="E114" i="8"/>
  <c r="F114" i="8"/>
  <c r="G114" i="8"/>
  <c r="H114" i="8"/>
  <c r="I114" i="8"/>
  <c r="J114" i="8"/>
  <c r="K114" i="8"/>
  <c r="L114" i="8"/>
  <c r="B115" i="8"/>
  <c r="C115" i="8"/>
  <c r="D115" i="8"/>
  <c r="D124" i="8" s="1"/>
  <c r="E115" i="8"/>
  <c r="F115" i="8"/>
  <c r="F124" i="8" s="1"/>
  <c r="G115" i="8"/>
  <c r="G124" i="8" s="1"/>
  <c r="H115" i="8"/>
  <c r="H124" i="8" s="1"/>
  <c r="I115" i="8"/>
  <c r="I124" i="8" s="1"/>
  <c r="J115" i="8"/>
  <c r="J124" i="8" s="1"/>
  <c r="K115" i="8"/>
  <c r="K124" i="8" s="1"/>
  <c r="L115" i="8"/>
  <c r="B116" i="8"/>
  <c r="C116" i="8"/>
  <c r="D116" i="8"/>
  <c r="E116" i="8"/>
  <c r="F116" i="8"/>
  <c r="F125" i="8" s="1"/>
  <c r="G116" i="8"/>
  <c r="G125" i="8" s="1"/>
  <c r="H116" i="8"/>
  <c r="I116" i="8"/>
  <c r="J116" i="8"/>
  <c r="J125" i="8" s="1"/>
  <c r="K116" i="8"/>
  <c r="L116" i="8"/>
  <c r="B117" i="8"/>
  <c r="C117" i="8"/>
  <c r="D117" i="8"/>
  <c r="E117" i="8"/>
  <c r="F117" i="8"/>
  <c r="G117" i="8"/>
  <c r="H117" i="8"/>
  <c r="I117" i="8"/>
  <c r="J117" i="8"/>
  <c r="K117" i="8"/>
  <c r="L117" i="8"/>
  <c r="B118" i="8"/>
  <c r="C118" i="8"/>
  <c r="D118" i="8"/>
  <c r="E118" i="8"/>
  <c r="F118" i="8"/>
  <c r="G118" i="8"/>
  <c r="H118" i="8"/>
  <c r="I118" i="8"/>
  <c r="J118" i="8"/>
  <c r="K118" i="8"/>
  <c r="L118" i="8"/>
  <c r="B119" i="8"/>
  <c r="C119" i="8"/>
  <c r="D119" i="8"/>
  <c r="E119" i="8"/>
  <c r="F119" i="8"/>
  <c r="G119" i="8"/>
  <c r="H119" i="8"/>
  <c r="I119" i="8"/>
  <c r="J119" i="8"/>
  <c r="K119" i="8"/>
  <c r="L119" i="8"/>
  <c r="B120" i="8"/>
  <c r="C120" i="8"/>
  <c r="D120" i="8"/>
  <c r="D126" i="8" s="1"/>
  <c r="E120" i="8"/>
  <c r="E126" i="8" s="1"/>
  <c r="F120" i="8"/>
  <c r="F126" i="8" s="1"/>
  <c r="G120" i="8"/>
  <c r="G126" i="8" s="1"/>
  <c r="H120" i="8"/>
  <c r="H126" i="8" s="1"/>
  <c r="I120" i="8"/>
  <c r="I126" i="8" s="1"/>
  <c r="J120" i="8"/>
  <c r="J126" i="8" s="1"/>
  <c r="K120" i="8"/>
  <c r="K126" i="8" s="1"/>
  <c r="L120" i="8"/>
  <c r="B121" i="8"/>
  <c r="C121" i="8"/>
  <c r="D121" i="8"/>
  <c r="D127" i="8" s="1"/>
  <c r="E121" i="8"/>
  <c r="E127" i="8" s="1"/>
  <c r="F121" i="8"/>
  <c r="F127" i="8" s="1"/>
  <c r="G121" i="8"/>
  <c r="G127" i="8" s="1"/>
  <c r="H121" i="8"/>
  <c r="H127" i="8" s="1"/>
  <c r="I121" i="8"/>
  <c r="I127" i="8" s="1"/>
  <c r="J121" i="8"/>
  <c r="J127" i="8" s="1"/>
  <c r="K121" i="8"/>
  <c r="K127" i="8" s="1"/>
  <c r="L121" i="8"/>
  <c r="B122" i="8"/>
  <c r="C122" i="8"/>
  <c r="D122" i="8"/>
  <c r="E122" i="8"/>
  <c r="F122" i="8"/>
  <c r="G122" i="8"/>
  <c r="H122" i="8"/>
  <c r="I122" i="8"/>
  <c r="J122" i="8"/>
  <c r="K122" i="8"/>
  <c r="L122" i="8"/>
  <c r="C112" i="8"/>
  <c r="D112" i="8"/>
  <c r="E112" i="8"/>
  <c r="F112" i="8"/>
  <c r="G112" i="8"/>
  <c r="H112" i="8"/>
  <c r="I112" i="8"/>
  <c r="J112" i="8"/>
  <c r="K112" i="8"/>
  <c r="L112" i="8"/>
  <c r="B112" i="8"/>
  <c r="E124" i="8"/>
  <c r="G165" i="8" l="1"/>
  <c r="G167" i="8" s="1"/>
  <c r="H165" i="8"/>
  <c r="H167" i="8" s="1"/>
  <c r="D209" i="8"/>
  <c r="E39" i="7" s="1"/>
  <c r="H201" i="8"/>
  <c r="H203" i="8" s="1"/>
  <c r="D201" i="8"/>
  <c r="D203" i="8" s="1"/>
  <c r="D204" i="8" s="1"/>
  <c r="E34" i="7" s="1"/>
  <c r="N199" i="8"/>
  <c r="N193" i="8" s="1"/>
  <c r="D208" i="8"/>
  <c r="O185" i="8" s="1"/>
  <c r="N185" i="8"/>
  <c r="E165" i="8"/>
  <c r="E167" i="8" s="1"/>
  <c r="F33" i="6" s="1"/>
  <c r="H130" i="8"/>
  <c r="I32" i="5" s="1"/>
  <c r="D130" i="8"/>
  <c r="E32" i="5" s="1"/>
  <c r="K128" i="8"/>
  <c r="E33" i="7"/>
  <c r="O199" i="8"/>
  <c r="O193" i="8" s="1"/>
  <c r="D213" i="8" s="1"/>
  <c r="E43" i="7" s="1"/>
  <c r="G168" i="8"/>
  <c r="H34" i="6" s="1"/>
  <c r="H33" i="6"/>
  <c r="O166" i="8"/>
  <c r="G32" i="6"/>
  <c r="H168" i="8"/>
  <c r="I34" i="6" s="1"/>
  <c r="I33" i="6"/>
  <c r="J168" i="8"/>
  <c r="K34" i="6" s="1"/>
  <c r="K33" i="6"/>
  <c r="D211" i="8"/>
  <c r="E41" i="7" s="1"/>
  <c r="I201" i="8"/>
  <c r="I203" i="8" s="1"/>
  <c r="I204" i="8" s="1"/>
  <c r="J34" i="7" s="1"/>
  <c r="J204" i="8"/>
  <c r="K34" i="7" s="1"/>
  <c r="K33" i="7"/>
  <c r="G204" i="8"/>
  <c r="H34" i="7" s="1"/>
  <c r="H33" i="7"/>
  <c r="H204" i="8"/>
  <c r="I34" i="7" s="1"/>
  <c r="I33" i="7"/>
  <c r="N197" i="8"/>
  <c r="N188" i="8" s="1"/>
  <c r="O197" i="8"/>
  <c r="O188" i="8" s="1"/>
  <c r="D210" i="8" s="1"/>
  <c r="E40" i="7" s="1"/>
  <c r="K201" i="8"/>
  <c r="K203" i="8" s="1"/>
  <c r="F201" i="8"/>
  <c r="F203" i="8" s="1"/>
  <c r="N202" i="8"/>
  <c r="P202" i="8"/>
  <c r="O202" i="8"/>
  <c r="E201" i="8"/>
  <c r="P197" i="8"/>
  <c r="P188" i="8" s="1"/>
  <c r="D175" i="8"/>
  <c r="E41" i="6" s="1"/>
  <c r="N149" i="8"/>
  <c r="I165" i="8"/>
  <c r="I167" i="8" s="1"/>
  <c r="D176" i="8"/>
  <c r="E42" i="6" s="1"/>
  <c r="N163" i="8"/>
  <c r="N157" i="8" s="1"/>
  <c r="D172" i="8"/>
  <c r="D177" i="8"/>
  <c r="E43" i="6" s="1"/>
  <c r="D173" i="8"/>
  <c r="E39" i="6" s="1"/>
  <c r="P166" i="8"/>
  <c r="P163" i="8"/>
  <c r="P157" i="8" s="1"/>
  <c r="N166" i="8"/>
  <c r="O161" i="8"/>
  <c r="O152" i="8" s="1"/>
  <c r="D174" i="8" s="1"/>
  <c r="E40" i="6" s="1"/>
  <c r="P161" i="8"/>
  <c r="P152" i="8" s="1"/>
  <c r="N161" i="8"/>
  <c r="N152" i="8" s="1"/>
  <c r="D165" i="8"/>
  <c r="D167" i="8" s="1"/>
  <c r="F165" i="8"/>
  <c r="F167" i="8" s="1"/>
  <c r="K165" i="8"/>
  <c r="K167" i="8" s="1"/>
  <c r="N118" i="8"/>
  <c r="E130" i="8"/>
  <c r="E125" i="8"/>
  <c r="P118" i="8"/>
  <c r="O114" i="8"/>
  <c r="P117" i="8"/>
  <c r="N122" i="8"/>
  <c r="N114" i="8"/>
  <c r="P119" i="8"/>
  <c r="P114" i="8"/>
  <c r="M113" i="8"/>
  <c r="F128" i="8"/>
  <c r="I130" i="8"/>
  <c r="F130" i="8"/>
  <c r="N119" i="8"/>
  <c r="P127" i="8"/>
  <c r="P121" i="8" s="1"/>
  <c r="P126" i="8"/>
  <c r="P120" i="8" s="1"/>
  <c r="O126" i="8"/>
  <c r="O120" i="8" s="1"/>
  <c r="N126" i="8"/>
  <c r="N120" i="8" s="1"/>
  <c r="P124" i="8"/>
  <c r="P115" i="8" s="1"/>
  <c r="N127" i="8"/>
  <c r="N121" i="8" s="1"/>
  <c r="H125" i="8"/>
  <c r="I128" i="8"/>
  <c r="G130" i="8"/>
  <c r="J128" i="8"/>
  <c r="H128" i="8"/>
  <c r="H129" i="8" s="1"/>
  <c r="H131" i="8" s="1"/>
  <c r="I125" i="8"/>
  <c r="J130" i="8"/>
  <c r="G128" i="8"/>
  <c r="O127" i="8"/>
  <c r="O121" i="8" s="1"/>
  <c r="O119" i="8"/>
  <c r="O124" i="8"/>
  <c r="O115" i="8" s="1"/>
  <c r="N117" i="8"/>
  <c r="O118" i="8"/>
  <c r="O117" i="8"/>
  <c r="O122" i="8"/>
  <c r="K125" i="8"/>
  <c r="D128" i="8"/>
  <c r="D129" i="8" s="1"/>
  <c r="D131" i="8" s="1"/>
  <c r="P122" i="8"/>
  <c r="D125" i="8"/>
  <c r="E128" i="8"/>
  <c r="K130" i="8"/>
  <c r="N124" i="8"/>
  <c r="N115" i="8" s="1"/>
  <c r="J33" i="7" l="1"/>
  <c r="E38" i="7"/>
  <c r="K168" i="8"/>
  <c r="L34" i="6" s="1"/>
  <c r="L33" i="6"/>
  <c r="K204" i="8"/>
  <c r="L34" i="7" s="1"/>
  <c r="L33" i="7"/>
  <c r="D168" i="8"/>
  <c r="E34" i="6" s="1"/>
  <c r="E33" i="6"/>
  <c r="F168" i="8"/>
  <c r="G34" i="6" s="1"/>
  <c r="G33" i="6"/>
  <c r="I168" i="8"/>
  <c r="J34" i="6" s="1"/>
  <c r="J33" i="6"/>
  <c r="F204" i="8"/>
  <c r="G34" i="7" s="1"/>
  <c r="G33" i="7"/>
  <c r="E203" i="8"/>
  <c r="F33" i="7" s="1"/>
  <c r="O149" i="8"/>
  <c r="E38" i="6"/>
  <c r="N167" i="8"/>
  <c r="O167" i="8"/>
  <c r="D178" i="8" s="1"/>
  <c r="E44" i="6" s="1"/>
  <c r="E168" i="8"/>
  <c r="F34" i="6" s="1"/>
  <c r="P167" i="8"/>
  <c r="J32" i="5"/>
  <c r="K32" i="5"/>
  <c r="H32" i="5"/>
  <c r="F32" i="5"/>
  <c r="I129" i="8"/>
  <c r="I131" i="8" s="1"/>
  <c r="J33" i="5" s="1"/>
  <c r="N125" i="8"/>
  <c r="N116" i="8" s="1"/>
  <c r="D132" i="8"/>
  <c r="E34" i="5" s="1"/>
  <c r="E33" i="5"/>
  <c r="H132" i="8"/>
  <c r="I33" i="5"/>
  <c r="N113" i="8"/>
  <c r="D139" i="8"/>
  <c r="D136" i="8"/>
  <c r="D141" i="8"/>
  <c r="D140" i="8"/>
  <c r="D137" i="8"/>
  <c r="K129" i="8"/>
  <c r="K131" i="8" s="1"/>
  <c r="L32" i="5"/>
  <c r="F129" i="8"/>
  <c r="F131" i="8" s="1"/>
  <c r="G32" i="5"/>
  <c r="O130" i="8"/>
  <c r="G129" i="8"/>
  <c r="G131" i="8" s="1"/>
  <c r="N130" i="8"/>
  <c r="P125" i="8"/>
  <c r="P116" i="8" s="1"/>
  <c r="D138" i="8" s="1"/>
  <c r="O125" i="8"/>
  <c r="O116" i="8" s="1"/>
  <c r="E129" i="8"/>
  <c r="J129" i="8"/>
  <c r="J131" i="8" s="1"/>
  <c r="P130" i="8"/>
  <c r="N203" i="8" l="1"/>
  <c r="P203" i="8"/>
  <c r="O203" i="8"/>
  <c r="D214" i="8" s="1"/>
  <c r="E44" i="7" s="1"/>
  <c r="E204" i="8"/>
  <c r="F34" i="7" s="1"/>
  <c r="I132" i="8"/>
  <c r="J34" i="5" s="1"/>
  <c r="O168" i="8"/>
  <c r="D179" i="8" s="1"/>
  <c r="P168" i="8"/>
  <c r="N168" i="8"/>
  <c r="E40" i="5"/>
  <c r="E41" i="5"/>
  <c r="E43" i="5"/>
  <c r="I34" i="5"/>
  <c r="E39" i="5"/>
  <c r="E42" i="5"/>
  <c r="O113" i="8"/>
  <c r="E38" i="5"/>
  <c r="K132" i="8"/>
  <c r="L34" i="5" s="1"/>
  <c r="L33" i="5"/>
  <c r="G132" i="8"/>
  <c r="H33" i="5"/>
  <c r="J132" i="8"/>
  <c r="K33" i="5"/>
  <c r="F132" i="8"/>
  <c r="G33" i="5"/>
  <c r="E131" i="8"/>
  <c r="B77" i="8"/>
  <c r="C77" i="8"/>
  <c r="D77" i="8"/>
  <c r="E77" i="8"/>
  <c r="F77" i="8"/>
  <c r="G77" i="8"/>
  <c r="H77" i="8"/>
  <c r="I77" i="8"/>
  <c r="J77" i="8"/>
  <c r="K77" i="8"/>
  <c r="L77" i="8"/>
  <c r="B78" i="8"/>
  <c r="C78" i="8"/>
  <c r="D78" i="8"/>
  <c r="E78" i="8"/>
  <c r="F78" i="8"/>
  <c r="G78" i="8"/>
  <c r="H78" i="8"/>
  <c r="I78" i="8"/>
  <c r="J78" i="8"/>
  <c r="K78" i="8"/>
  <c r="L78" i="8"/>
  <c r="B79" i="8"/>
  <c r="C79" i="8"/>
  <c r="D79" i="8"/>
  <c r="D88" i="8" s="1"/>
  <c r="E79" i="8"/>
  <c r="E88" i="8" s="1"/>
  <c r="F79" i="8"/>
  <c r="F88" i="8" s="1"/>
  <c r="G79" i="8"/>
  <c r="G88" i="8" s="1"/>
  <c r="H79" i="8"/>
  <c r="H88" i="8" s="1"/>
  <c r="I79" i="8"/>
  <c r="I88" i="8" s="1"/>
  <c r="J79" i="8"/>
  <c r="J88" i="8" s="1"/>
  <c r="K79" i="8"/>
  <c r="K88" i="8" s="1"/>
  <c r="L79" i="8"/>
  <c r="B80" i="8"/>
  <c r="C80" i="8"/>
  <c r="D80" i="8"/>
  <c r="D89" i="8" s="1"/>
  <c r="E80" i="8"/>
  <c r="E89" i="8" s="1"/>
  <c r="F80" i="8"/>
  <c r="G80" i="8"/>
  <c r="H80" i="8"/>
  <c r="H89" i="8" s="1"/>
  <c r="I80" i="8"/>
  <c r="J80" i="8"/>
  <c r="J89" i="8" s="1"/>
  <c r="K80" i="8"/>
  <c r="K89" i="8" s="1"/>
  <c r="L80" i="8"/>
  <c r="B81" i="8"/>
  <c r="C81" i="8"/>
  <c r="D81" i="8"/>
  <c r="E81" i="8"/>
  <c r="F81" i="8"/>
  <c r="G81" i="8"/>
  <c r="H81" i="8"/>
  <c r="I81" i="8"/>
  <c r="J81" i="8"/>
  <c r="K81" i="8"/>
  <c r="L81" i="8"/>
  <c r="B82" i="8"/>
  <c r="C82" i="8"/>
  <c r="D82" i="8"/>
  <c r="E82" i="8"/>
  <c r="F82" i="8"/>
  <c r="G82" i="8"/>
  <c r="H82" i="8"/>
  <c r="I82" i="8"/>
  <c r="J82" i="8"/>
  <c r="K82" i="8"/>
  <c r="L82" i="8"/>
  <c r="B83" i="8"/>
  <c r="C83" i="8"/>
  <c r="D83" i="8"/>
  <c r="E83" i="8"/>
  <c r="F83" i="8"/>
  <c r="G83" i="8"/>
  <c r="H83" i="8"/>
  <c r="I83" i="8"/>
  <c r="J83" i="8"/>
  <c r="K83" i="8"/>
  <c r="L83" i="8"/>
  <c r="B84" i="8"/>
  <c r="C84" i="8"/>
  <c r="D84" i="8"/>
  <c r="D90" i="8" s="1"/>
  <c r="E84" i="8"/>
  <c r="E90" i="8" s="1"/>
  <c r="F84" i="8"/>
  <c r="F90" i="8" s="1"/>
  <c r="G84" i="8"/>
  <c r="G90" i="8" s="1"/>
  <c r="H84" i="8"/>
  <c r="H90" i="8" s="1"/>
  <c r="I84" i="8"/>
  <c r="I90" i="8" s="1"/>
  <c r="J84" i="8"/>
  <c r="J90" i="8" s="1"/>
  <c r="K84" i="8"/>
  <c r="K90" i="8" s="1"/>
  <c r="L84" i="8"/>
  <c r="B85" i="8"/>
  <c r="C85" i="8"/>
  <c r="D85" i="8"/>
  <c r="D91" i="8" s="1"/>
  <c r="E85" i="8"/>
  <c r="E91" i="8" s="1"/>
  <c r="F85" i="8"/>
  <c r="F91" i="8" s="1"/>
  <c r="G85" i="8"/>
  <c r="G91" i="8" s="1"/>
  <c r="H85" i="8"/>
  <c r="H91" i="8" s="1"/>
  <c r="I85" i="8"/>
  <c r="J85" i="8"/>
  <c r="J91" i="8" s="1"/>
  <c r="K85" i="8"/>
  <c r="K91" i="8" s="1"/>
  <c r="L85" i="8"/>
  <c r="B86" i="8"/>
  <c r="C86" i="8"/>
  <c r="D86" i="8"/>
  <c r="E86" i="8"/>
  <c r="F86" i="8"/>
  <c r="G86" i="8"/>
  <c r="H86" i="8"/>
  <c r="I86" i="8"/>
  <c r="J86" i="8"/>
  <c r="K86" i="8"/>
  <c r="L86" i="8"/>
  <c r="C76" i="8"/>
  <c r="D76" i="8"/>
  <c r="E76" i="8"/>
  <c r="F76" i="8"/>
  <c r="G76" i="8"/>
  <c r="H76" i="8"/>
  <c r="I76" i="8"/>
  <c r="J76" i="8"/>
  <c r="K76" i="8"/>
  <c r="L76" i="8"/>
  <c r="B76" i="8"/>
  <c r="R80" i="8"/>
  <c r="R78" i="8"/>
  <c r="R79" i="8"/>
  <c r="R77" i="8"/>
  <c r="E45" i="6" l="1"/>
  <c r="E11" i="7" s="1"/>
  <c r="R190" i="8"/>
  <c r="N204" i="8"/>
  <c r="P204" i="8"/>
  <c r="O204" i="8"/>
  <c r="D215" i="8" s="1"/>
  <c r="E45" i="7" s="1"/>
  <c r="G34" i="5"/>
  <c r="K34" i="5"/>
  <c r="H34" i="5"/>
  <c r="F33" i="5"/>
  <c r="D94" i="8"/>
  <c r="E32" i="4" s="1"/>
  <c r="E94" i="8"/>
  <c r="F32" i="4" s="1"/>
  <c r="F92" i="8"/>
  <c r="K94" i="8"/>
  <c r="L32" i="4" s="1"/>
  <c r="I94" i="8"/>
  <c r="J32" i="4" s="1"/>
  <c r="O131" i="8"/>
  <c r="P131" i="8"/>
  <c r="D142" i="8" s="1"/>
  <c r="E132" i="8"/>
  <c r="N131" i="8"/>
  <c r="G92" i="8"/>
  <c r="E92" i="8"/>
  <c r="E93" i="8" s="1"/>
  <c r="N81" i="8"/>
  <c r="P86" i="8"/>
  <c r="N78" i="8"/>
  <c r="F89" i="8"/>
  <c r="P82" i="8"/>
  <c r="P83" i="8"/>
  <c r="M77" i="8"/>
  <c r="F94" i="8"/>
  <c r="G32" i="4" s="1"/>
  <c r="R81" i="8"/>
  <c r="N83" i="8"/>
  <c r="I91" i="8"/>
  <c r="O91" i="8" s="1"/>
  <c r="O85" i="8" s="1"/>
  <c r="P78" i="8"/>
  <c r="O88" i="8"/>
  <c r="O79" i="8" s="1"/>
  <c r="P88" i="8"/>
  <c r="P79" i="8" s="1"/>
  <c r="N88" i="8"/>
  <c r="N79" i="8" s="1"/>
  <c r="O90" i="8"/>
  <c r="O84" i="8" s="1"/>
  <c r="N90" i="8"/>
  <c r="N84" i="8" s="1"/>
  <c r="P90" i="8"/>
  <c r="P84" i="8" s="1"/>
  <c r="O83" i="8"/>
  <c r="G94" i="8"/>
  <c r="O78" i="8"/>
  <c r="N82" i="8"/>
  <c r="N86" i="8"/>
  <c r="I92" i="8"/>
  <c r="O82" i="8"/>
  <c r="O86" i="8"/>
  <c r="J92" i="8"/>
  <c r="H94" i="8"/>
  <c r="G89" i="8"/>
  <c r="K92" i="8"/>
  <c r="O81" i="8"/>
  <c r="D92" i="8"/>
  <c r="D93" i="8" s="1"/>
  <c r="D95" i="8" s="1"/>
  <c r="J94" i="8"/>
  <c r="K32" i="4" s="1"/>
  <c r="P81" i="8"/>
  <c r="I89" i="8"/>
  <c r="H92" i="8"/>
  <c r="B42" i="8"/>
  <c r="C42" i="8"/>
  <c r="D42" i="8"/>
  <c r="E42" i="8"/>
  <c r="F42" i="8"/>
  <c r="G42" i="8"/>
  <c r="H42" i="8"/>
  <c r="I42" i="8"/>
  <c r="J42" i="8"/>
  <c r="K42" i="8"/>
  <c r="L42" i="8"/>
  <c r="B43" i="8"/>
  <c r="C43" i="8"/>
  <c r="D43" i="8"/>
  <c r="E43" i="8"/>
  <c r="F43" i="8"/>
  <c r="G43" i="8"/>
  <c r="H43" i="8"/>
  <c r="I43" i="8"/>
  <c r="J43" i="8"/>
  <c r="K43" i="8"/>
  <c r="L43" i="8"/>
  <c r="B44" i="8"/>
  <c r="C44" i="8"/>
  <c r="D44" i="8"/>
  <c r="D53" i="8" s="1"/>
  <c r="E44" i="8"/>
  <c r="E53" i="8" s="1"/>
  <c r="F44" i="8"/>
  <c r="F53" i="8" s="1"/>
  <c r="G44" i="8"/>
  <c r="G53" i="8" s="1"/>
  <c r="H44" i="8"/>
  <c r="H53" i="8" s="1"/>
  <c r="I44" i="8"/>
  <c r="I53" i="8" s="1"/>
  <c r="J44" i="8"/>
  <c r="J53" i="8" s="1"/>
  <c r="K44" i="8"/>
  <c r="K53" i="8" s="1"/>
  <c r="L44" i="8"/>
  <c r="B45" i="8"/>
  <c r="C45" i="8"/>
  <c r="D45" i="8"/>
  <c r="E45" i="8"/>
  <c r="F45" i="8"/>
  <c r="F54" i="8" s="1"/>
  <c r="G45" i="8"/>
  <c r="H45" i="8"/>
  <c r="H54" i="8" s="1"/>
  <c r="I45" i="8"/>
  <c r="I54" i="8" s="1"/>
  <c r="J45" i="8"/>
  <c r="J54" i="8" s="1"/>
  <c r="K45" i="8"/>
  <c r="L45" i="8"/>
  <c r="B46" i="8"/>
  <c r="C46" i="8"/>
  <c r="D46" i="8"/>
  <c r="E46" i="8"/>
  <c r="F46" i="8"/>
  <c r="G46" i="8"/>
  <c r="H46" i="8"/>
  <c r="I46" i="8"/>
  <c r="J46" i="8"/>
  <c r="K46" i="8"/>
  <c r="L46" i="8"/>
  <c r="B47" i="8"/>
  <c r="C47" i="8"/>
  <c r="D47" i="8"/>
  <c r="E47" i="8"/>
  <c r="F47" i="8"/>
  <c r="G47" i="8"/>
  <c r="H47" i="8"/>
  <c r="I47" i="8"/>
  <c r="J47" i="8"/>
  <c r="K47" i="8"/>
  <c r="L47" i="8"/>
  <c r="B48" i="8"/>
  <c r="C48" i="8"/>
  <c r="D48" i="8"/>
  <c r="E48" i="8"/>
  <c r="F48" i="8"/>
  <c r="G48" i="8"/>
  <c r="H48" i="8"/>
  <c r="I48" i="8"/>
  <c r="J48" i="8"/>
  <c r="K48" i="8"/>
  <c r="L48" i="8"/>
  <c r="B49" i="8"/>
  <c r="C49" i="8"/>
  <c r="D49" i="8"/>
  <c r="D55" i="8" s="1"/>
  <c r="E49" i="8"/>
  <c r="E55" i="8" s="1"/>
  <c r="F49" i="8"/>
  <c r="F55" i="8" s="1"/>
  <c r="G49" i="8"/>
  <c r="G55" i="8" s="1"/>
  <c r="H49" i="8"/>
  <c r="H55" i="8" s="1"/>
  <c r="I49" i="8"/>
  <c r="I55" i="8" s="1"/>
  <c r="J49" i="8"/>
  <c r="J55" i="8" s="1"/>
  <c r="K49" i="8"/>
  <c r="K55" i="8" s="1"/>
  <c r="L49" i="8"/>
  <c r="B50" i="8"/>
  <c r="C50" i="8"/>
  <c r="D50" i="8"/>
  <c r="E50" i="8"/>
  <c r="E56" i="8" s="1"/>
  <c r="F50" i="8"/>
  <c r="F56" i="8" s="1"/>
  <c r="G50" i="8"/>
  <c r="H50" i="8"/>
  <c r="H56" i="8" s="1"/>
  <c r="I50" i="8"/>
  <c r="J50" i="8"/>
  <c r="J56" i="8" s="1"/>
  <c r="K50" i="8"/>
  <c r="L50" i="8"/>
  <c r="B51" i="8"/>
  <c r="C51" i="8"/>
  <c r="D51" i="8"/>
  <c r="E51" i="8"/>
  <c r="F51" i="8"/>
  <c r="G51" i="8"/>
  <c r="H51" i="8"/>
  <c r="I51" i="8"/>
  <c r="J51" i="8"/>
  <c r="K51" i="8"/>
  <c r="L51" i="8"/>
  <c r="C41" i="8"/>
  <c r="D41" i="8"/>
  <c r="E41" i="8"/>
  <c r="F41" i="8"/>
  <c r="G41" i="8"/>
  <c r="H41" i="8"/>
  <c r="I41" i="8"/>
  <c r="J41" i="8"/>
  <c r="K41" i="8"/>
  <c r="L41" i="8"/>
  <c r="B41" i="8"/>
  <c r="K56" i="8"/>
  <c r="D56" i="8"/>
  <c r="D57" i="8" l="1"/>
  <c r="S198" i="8"/>
  <c r="S197" i="8"/>
  <c r="S199" i="8"/>
  <c r="S195" i="8"/>
  <c r="S194" i="8"/>
  <c r="S196" i="8"/>
  <c r="F34" i="5"/>
  <c r="E44" i="5"/>
  <c r="N77" i="8"/>
  <c r="D100" i="8"/>
  <c r="D103" i="8"/>
  <c r="D104" i="8"/>
  <c r="D102" i="8"/>
  <c r="D101" i="8"/>
  <c r="K93" i="8"/>
  <c r="K95" i="8" s="1"/>
  <c r="K96" i="8" s="1"/>
  <c r="L34" i="4" s="1"/>
  <c r="N132" i="8"/>
  <c r="O132" i="8"/>
  <c r="P132" i="8"/>
  <c r="D143" i="8" s="1"/>
  <c r="J59" i="8"/>
  <c r="K26" i="3" s="1"/>
  <c r="G57" i="8"/>
  <c r="N91" i="8"/>
  <c r="N85" i="8" s="1"/>
  <c r="D105" i="8" s="1"/>
  <c r="I93" i="8"/>
  <c r="I95" i="8" s="1"/>
  <c r="J33" i="4" s="1"/>
  <c r="G93" i="8"/>
  <c r="G95" i="8" s="1"/>
  <c r="H32" i="4"/>
  <c r="D96" i="8"/>
  <c r="E34" i="4" s="1"/>
  <c r="E33" i="4"/>
  <c r="F93" i="8"/>
  <c r="F95" i="8" s="1"/>
  <c r="O94" i="8"/>
  <c r="I32" i="4"/>
  <c r="P91" i="8"/>
  <c r="P85" i="8" s="1"/>
  <c r="H93" i="8"/>
  <c r="H95" i="8" s="1"/>
  <c r="J93" i="8"/>
  <c r="J95" i="8" s="1"/>
  <c r="O89" i="8"/>
  <c r="O80" i="8" s="1"/>
  <c r="E95" i="8"/>
  <c r="F33" i="4" s="1"/>
  <c r="P94" i="8"/>
  <c r="P89" i="8"/>
  <c r="P80" i="8" s="1"/>
  <c r="N94" i="8"/>
  <c r="N89" i="8"/>
  <c r="N80" i="8" s="1"/>
  <c r="O47" i="8"/>
  <c r="N43" i="8"/>
  <c r="K57" i="8"/>
  <c r="J57" i="8"/>
  <c r="E57" i="8"/>
  <c r="P47" i="8"/>
  <c r="N46" i="8"/>
  <c r="O43" i="8"/>
  <c r="O51" i="8"/>
  <c r="P43" i="8"/>
  <c r="N48" i="8"/>
  <c r="M42" i="8"/>
  <c r="D65" i="8" s="1"/>
  <c r="I59" i="8"/>
  <c r="J26" i="3" s="1"/>
  <c r="P48" i="8"/>
  <c r="G59" i="8"/>
  <c r="H26" i="3" s="1"/>
  <c r="I57" i="8"/>
  <c r="I56" i="8"/>
  <c r="P51" i="8"/>
  <c r="O46" i="8"/>
  <c r="N55" i="8"/>
  <c r="N49" i="8" s="1"/>
  <c r="O55" i="8"/>
  <c r="O49" i="8" s="1"/>
  <c r="P46" i="8"/>
  <c r="K54" i="8"/>
  <c r="K59" i="8"/>
  <c r="P53" i="8"/>
  <c r="P44" i="8" s="1"/>
  <c r="E59" i="8"/>
  <c r="F26" i="3" s="1"/>
  <c r="H59" i="8"/>
  <c r="I26" i="3" s="1"/>
  <c r="N53" i="8"/>
  <c r="N44" i="8" s="1"/>
  <c r="O53" i="8"/>
  <c r="O44" i="8" s="1"/>
  <c r="D54" i="8"/>
  <c r="H57" i="8"/>
  <c r="F59" i="8"/>
  <c r="G26" i="3" s="1"/>
  <c r="N51" i="8"/>
  <c r="E54" i="8"/>
  <c r="N47" i="8"/>
  <c r="G54" i="8"/>
  <c r="G56" i="8"/>
  <c r="F57" i="8"/>
  <c r="D59" i="8"/>
  <c r="P55" i="8"/>
  <c r="P49" i="8" s="1"/>
  <c r="O48" i="8"/>
  <c r="E16" i="8"/>
  <c r="F16" i="8"/>
  <c r="G16" i="8"/>
  <c r="L33" i="4" l="1"/>
  <c r="J58" i="8"/>
  <c r="J60" i="8" s="1"/>
  <c r="J61" i="8" s="1"/>
  <c r="K28" i="3" s="1"/>
  <c r="S202" i="8"/>
  <c r="S203" i="8"/>
  <c r="E45" i="5"/>
  <c r="N42" i="8"/>
  <c r="D69" i="8"/>
  <c r="D68" i="8"/>
  <c r="D66" i="8"/>
  <c r="I96" i="8"/>
  <c r="J34" i="4" s="1"/>
  <c r="H96" i="8"/>
  <c r="I34" i="4" s="1"/>
  <c r="I33" i="4"/>
  <c r="J96" i="8"/>
  <c r="K34" i="4" s="1"/>
  <c r="K33" i="4"/>
  <c r="F96" i="8"/>
  <c r="G34" i="4" s="1"/>
  <c r="G33" i="4"/>
  <c r="G96" i="8"/>
  <c r="H34" i="4" s="1"/>
  <c r="H33" i="4"/>
  <c r="E96" i="8"/>
  <c r="F34" i="4" s="1"/>
  <c r="P95" i="8"/>
  <c r="O95" i="8"/>
  <c r="N95" i="8"/>
  <c r="P56" i="8"/>
  <c r="P50" i="8" s="1"/>
  <c r="D70" i="8" s="1"/>
  <c r="I58" i="8"/>
  <c r="I60" i="8" s="1"/>
  <c r="J27" i="3" s="1"/>
  <c r="D58" i="8"/>
  <c r="D60" i="8" s="1"/>
  <c r="E26" i="3"/>
  <c r="K58" i="8"/>
  <c r="K60" i="8" s="1"/>
  <c r="L26" i="3"/>
  <c r="N56" i="8"/>
  <c r="N50" i="8" s="1"/>
  <c r="K27" i="3"/>
  <c r="F58" i="8"/>
  <c r="F60" i="8" s="1"/>
  <c r="G58" i="8"/>
  <c r="G60" i="8" s="1"/>
  <c r="P54" i="8"/>
  <c r="P45" i="8" s="1"/>
  <c r="D67" i="8" s="1"/>
  <c r="O54" i="8"/>
  <c r="O45" i="8" s="1"/>
  <c r="N54" i="8"/>
  <c r="N45" i="8" s="1"/>
  <c r="O59" i="8"/>
  <c r="N59" i="8"/>
  <c r="P59" i="8"/>
  <c r="E58" i="8"/>
  <c r="O56" i="8"/>
  <c r="O50" i="8" s="1"/>
  <c r="H58" i="8"/>
  <c r="H60" i="8" s="1"/>
  <c r="L10" i="8"/>
  <c r="D106" i="8" l="1"/>
  <c r="S205" i="8"/>
  <c r="E12" i="7" s="1"/>
  <c r="S204" i="8"/>
  <c r="E11" i="6"/>
  <c r="R154" i="8"/>
  <c r="I61" i="8"/>
  <c r="J28" i="3" s="1"/>
  <c r="P96" i="8"/>
  <c r="O96" i="8"/>
  <c r="D107" i="8" s="1"/>
  <c r="N96" i="8"/>
  <c r="F61" i="8"/>
  <c r="G28" i="3" s="1"/>
  <c r="G27" i="3"/>
  <c r="K61" i="8"/>
  <c r="L28" i="3" s="1"/>
  <c r="L27" i="3"/>
  <c r="H61" i="8"/>
  <c r="I28" i="3" s="1"/>
  <c r="I27" i="3"/>
  <c r="G61" i="8"/>
  <c r="H28" i="3" s="1"/>
  <c r="H27" i="3"/>
  <c r="D61" i="8"/>
  <c r="E28" i="3" s="1"/>
  <c r="E27" i="3"/>
  <c r="E60" i="8"/>
  <c r="F27" i="3" s="1"/>
  <c r="D7" i="8"/>
  <c r="D9" i="8"/>
  <c r="D10" i="8"/>
  <c r="D11" i="8"/>
  <c r="D12" i="8"/>
  <c r="D13" i="8"/>
  <c r="D14" i="8"/>
  <c r="D20" i="8" s="1"/>
  <c r="D15" i="8"/>
  <c r="D21" i="8" s="1"/>
  <c r="D16" i="8"/>
  <c r="B16" i="8"/>
  <c r="C16" i="8"/>
  <c r="H16" i="8"/>
  <c r="I16" i="8"/>
  <c r="J16" i="8"/>
  <c r="K16" i="8"/>
  <c r="B7" i="8"/>
  <c r="C7" i="8"/>
  <c r="F7" i="8"/>
  <c r="G7" i="8"/>
  <c r="H7" i="8"/>
  <c r="I7" i="8"/>
  <c r="J7" i="8"/>
  <c r="K7" i="8"/>
  <c r="B8" i="8"/>
  <c r="C8" i="8"/>
  <c r="F8" i="8"/>
  <c r="G8" i="8"/>
  <c r="H8" i="8"/>
  <c r="I8" i="8"/>
  <c r="J8" i="8"/>
  <c r="K8" i="8"/>
  <c r="B9" i="8"/>
  <c r="C9" i="8"/>
  <c r="E9" i="8"/>
  <c r="F9" i="8"/>
  <c r="G9" i="8"/>
  <c r="H9" i="8"/>
  <c r="I9" i="8"/>
  <c r="J9" i="8"/>
  <c r="K9" i="8"/>
  <c r="B10" i="8"/>
  <c r="C10" i="8"/>
  <c r="E10" i="8"/>
  <c r="F10" i="8"/>
  <c r="G10" i="8"/>
  <c r="H10" i="8"/>
  <c r="I10" i="8"/>
  <c r="J10" i="8"/>
  <c r="K10" i="8"/>
  <c r="B11" i="8"/>
  <c r="C11" i="8"/>
  <c r="E11" i="8"/>
  <c r="F11" i="8"/>
  <c r="G11" i="8"/>
  <c r="H11" i="8"/>
  <c r="I11" i="8"/>
  <c r="J11" i="8"/>
  <c r="K11" i="8"/>
  <c r="B12" i="8"/>
  <c r="C12" i="8"/>
  <c r="E12" i="8"/>
  <c r="F12" i="8"/>
  <c r="G12" i="8"/>
  <c r="H12" i="8"/>
  <c r="I12" i="8"/>
  <c r="J12" i="8"/>
  <c r="K12" i="8"/>
  <c r="B13" i="8"/>
  <c r="C13" i="8"/>
  <c r="E13" i="8"/>
  <c r="F13" i="8"/>
  <c r="G13" i="8"/>
  <c r="H13" i="8"/>
  <c r="I13" i="8"/>
  <c r="J13" i="8"/>
  <c r="K13" i="8"/>
  <c r="B14" i="8"/>
  <c r="C14" i="8"/>
  <c r="E14" i="8"/>
  <c r="E20" i="8" s="1"/>
  <c r="F14" i="8"/>
  <c r="F20" i="8" s="1"/>
  <c r="G14" i="8"/>
  <c r="G20" i="8" s="1"/>
  <c r="H14" i="8"/>
  <c r="H20" i="8" s="1"/>
  <c r="I14" i="8"/>
  <c r="I20" i="8" s="1"/>
  <c r="J14" i="8"/>
  <c r="J20" i="8" s="1"/>
  <c r="K14" i="8"/>
  <c r="K20" i="8" s="1"/>
  <c r="B15" i="8"/>
  <c r="C15" i="8"/>
  <c r="E15" i="8"/>
  <c r="E21" i="8" s="1"/>
  <c r="F15" i="8"/>
  <c r="F21" i="8" s="1"/>
  <c r="G15" i="8"/>
  <c r="G21" i="8" s="1"/>
  <c r="H15" i="8"/>
  <c r="H21" i="8" s="1"/>
  <c r="I15" i="8"/>
  <c r="I21" i="8" s="1"/>
  <c r="J15" i="8"/>
  <c r="J21" i="8" s="1"/>
  <c r="K15" i="8"/>
  <c r="K21" i="8" s="1"/>
  <c r="C6" i="8"/>
  <c r="D6" i="8"/>
  <c r="E6" i="8"/>
  <c r="F6" i="8"/>
  <c r="G6" i="8"/>
  <c r="H6" i="8"/>
  <c r="I6" i="8"/>
  <c r="J6" i="8"/>
  <c r="K6" i="8"/>
  <c r="S161" i="8" l="1"/>
  <c r="S163" i="8"/>
  <c r="S160" i="8"/>
  <c r="S158" i="8"/>
  <c r="S162" i="8"/>
  <c r="S159" i="8"/>
  <c r="E24" i="8"/>
  <c r="P16" i="8"/>
  <c r="P13" i="8"/>
  <c r="O16" i="8"/>
  <c r="O21" i="8"/>
  <c r="O15" i="8" s="1"/>
  <c r="N12" i="8"/>
  <c r="O13" i="8"/>
  <c r="P60" i="8"/>
  <c r="O60" i="8"/>
  <c r="N60" i="8"/>
  <c r="E61" i="8"/>
  <c r="F28" i="3" s="1"/>
  <c r="O20" i="8"/>
  <c r="O14" i="8" s="1"/>
  <c r="N11" i="8"/>
  <c r="P12" i="8"/>
  <c r="O12" i="8"/>
  <c r="P11" i="8"/>
  <c r="N16" i="8"/>
  <c r="O11" i="8"/>
  <c r="N21" i="8"/>
  <c r="N15" i="8" s="1"/>
  <c r="N20" i="8"/>
  <c r="N14" i="8" s="1"/>
  <c r="N13" i="8"/>
  <c r="P20" i="8"/>
  <c r="P14" i="8" s="1"/>
  <c r="P21" i="8"/>
  <c r="P15" i="8" s="1"/>
  <c r="P8" i="8"/>
  <c r="O8" i="8"/>
  <c r="N8" i="8"/>
  <c r="M7" i="8"/>
  <c r="L12" i="8"/>
  <c r="L11" i="8"/>
  <c r="D19" i="8"/>
  <c r="D22" i="8"/>
  <c r="D24" i="8"/>
  <c r="I19" i="8"/>
  <c r="I22" i="8"/>
  <c r="I24" i="8"/>
  <c r="J17" i="2" s="1"/>
  <c r="H19" i="8"/>
  <c r="H22" i="8"/>
  <c r="H24" i="8"/>
  <c r="I17" i="2" s="1"/>
  <c r="G19" i="8"/>
  <c r="G22" i="8"/>
  <c r="G24" i="8"/>
  <c r="H17" i="2" s="1"/>
  <c r="F19" i="8"/>
  <c r="F22" i="8"/>
  <c r="F24" i="8"/>
  <c r="E19" i="8"/>
  <c r="E22" i="8"/>
  <c r="K19" i="8"/>
  <c r="K22" i="8"/>
  <c r="K24" i="8"/>
  <c r="J19" i="8"/>
  <c r="J22" i="8"/>
  <c r="J24" i="8"/>
  <c r="F18" i="8"/>
  <c r="E18" i="8"/>
  <c r="K18" i="8"/>
  <c r="J18" i="8"/>
  <c r="I18" i="8"/>
  <c r="H18" i="8"/>
  <c r="D18" i="8"/>
  <c r="G18" i="8"/>
  <c r="D71" i="8" l="1"/>
  <c r="E38" i="3" s="1"/>
  <c r="L196" i="8"/>
  <c r="L160" i="8"/>
  <c r="L199" i="8"/>
  <c r="L162" i="8"/>
  <c r="L198" i="8"/>
  <c r="L197" i="8"/>
  <c r="L164" i="8"/>
  <c r="L161" i="8"/>
  <c r="L200" i="8"/>
  <c r="L163" i="8"/>
  <c r="L201" i="8"/>
  <c r="L165" i="8"/>
  <c r="S166" i="8"/>
  <c r="S167" i="8"/>
  <c r="L127" i="8"/>
  <c r="L124" i="8"/>
  <c r="L126" i="8"/>
  <c r="L128" i="8"/>
  <c r="L125" i="8"/>
  <c r="L129" i="8"/>
  <c r="E45" i="4"/>
  <c r="R118" i="8" s="1"/>
  <c r="E41" i="4"/>
  <c r="L90" i="8"/>
  <c r="L88" i="8"/>
  <c r="L91" i="8"/>
  <c r="L89" i="8"/>
  <c r="E39" i="4"/>
  <c r="E43" i="4"/>
  <c r="E42" i="4"/>
  <c r="L92" i="8"/>
  <c r="E40" i="4"/>
  <c r="L93" i="8"/>
  <c r="E44" i="4"/>
  <c r="D35" i="8"/>
  <c r="E28" i="2" s="1"/>
  <c r="L53" i="8"/>
  <c r="L55" i="8"/>
  <c r="L56" i="8"/>
  <c r="L57" i="8"/>
  <c r="E33" i="3"/>
  <c r="L54" i="8"/>
  <c r="E36" i="3"/>
  <c r="E35" i="3"/>
  <c r="E34" i="3"/>
  <c r="E37" i="3"/>
  <c r="L58" i="8"/>
  <c r="N61" i="8"/>
  <c r="P61" i="8"/>
  <c r="O61" i="8"/>
  <c r="D34" i="8"/>
  <c r="E27" i="2" s="1"/>
  <c r="D33" i="8"/>
  <c r="E26" i="2" s="1"/>
  <c r="D30" i="8"/>
  <c r="O18" i="8"/>
  <c r="O9" i="8" s="1"/>
  <c r="N18" i="8"/>
  <c r="N9" i="8" s="1"/>
  <c r="N19" i="8"/>
  <c r="N10" i="8" s="1"/>
  <c r="F17" i="2"/>
  <c r="N24" i="8"/>
  <c r="O19" i="8"/>
  <c r="O10" i="8" s="1"/>
  <c r="P18" i="8"/>
  <c r="P9" i="8" s="1"/>
  <c r="P19" i="8"/>
  <c r="P10" i="8" s="1"/>
  <c r="K17" i="2"/>
  <c r="O24" i="8"/>
  <c r="L17" i="2"/>
  <c r="P24" i="8"/>
  <c r="N7" i="8"/>
  <c r="L22" i="8"/>
  <c r="L18" i="8"/>
  <c r="L9" i="8" s="1"/>
  <c r="D23" i="8"/>
  <c r="D25" i="8" s="1"/>
  <c r="D26" i="8" s="1"/>
  <c r="L20" i="8"/>
  <c r="L21" i="8"/>
  <c r="L19" i="8"/>
  <c r="L14" i="8" s="1"/>
  <c r="L8" i="8"/>
  <c r="G23" i="8"/>
  <c r="G25" i="8" s="1"/>
  <c r="E23" i="8"/>
  <c r="E25" i="8" s="1"/>
  <c r="F23" i="8"/>
  <c r="F25" i="8" s="1"/>
  <c r="F26" i="8" s="1"/>
  <c r="G19" i="2" s="1"/>
  <c r="G17" i="2"/>
  <c r="I23" i="8"/>
  <c r="I25" i="8" s="1"/>
  <c r="I26" i="8" s="1"/>
  <c r="J19" i="2" s="1"/>
  <c r="H23" i="8"/>
  <c r="H25" i="8" s="1"/>
  <c r="J23" i="8"/>
  <c r="J25" i="8" s="1"/>
  <c r="K23" i="8"/>
  <c r="K25" i="8" s="1"/>
  <c r="E17" i="2"/>
  <c r="D72" i="8" l="1"/>
  <c r="E39" i="3" s="1"/>
  <c r="S169" i="8"/>
  <c r="S168" i="8"/>
  <c r="E11" i="5"/>
  <c r="R117" i="8"/>
  <c r="D32" i="8"/>
  <c r="E25" i="2" s="1"/>
  <c r="D31" i="8"/>
  <c r="E24" i="2" s="1"/>
  <c r="O77" i="8"/>
  <c r="E38" i="4"/>
  <c r="O42" i="8"/>
  <c r="E32" i="3"/>
  <c r="P25" i="8"/>
  <c r="N25" i="8"/>
  <c r="K18" i="2"/>
  <c r="O25" i="8"/>
  <c r="O7" i="8"/>
  <c r="E23" i="2"/>
  <c r="L23" i="8"/>
  <c r="L15" i="8" s="1"/>
  <c r="J26" i="8"/>
  <c r="J18" i="2"/>
  <c r="G18" i="2"/>
  <c r="K26" i="8"/>
  <c r="L18" i="2"/>
  <c r="G26" i="8"/>
  <c r="H19" i="2" s="1"/>
  <c r="H18" i="2"/>
  <c r="E26" i="8"/>
  <c r="F18" i="2"/>
  <c r="H26" i="8"/>
  <c r="I19" i="2" s="1"/>
  <c r="I18" i="2"/>
  <c r="E19" i="2"/>
  <c r="E18" i="2"/>
  <c r="E12" i="6" l="1"/>
  <c r="D36" i="8"/>
  <c r="S127" i="8"/>
  <c r="S126" i="8"/>
  <c r="S124" i="8"/>
  <c r="S123" i="8"/>
  <c r="S122" i="8"/>
  <c r="S125" i="8"/>
  <c r="E11" i="4"/>
  <c r="R82" i="8" s="1"/>
  <c r="F19" i="2"/>
  <c r="N26" i="8"/>
  <c r="K19" i="2"/>
  <c r="O26" i="8"/>
  <c r="L19" i="2"/>
  <c r="P26" i="8"/>
  <c r="E29" i="2" l="1"/>
  <c r="S43" i="8"/>
  <c r="T43" i="8" s="1"/>
  <c r="D37" i="8"/>
  <c r="E30" i="2" s="1"/>
  <c r="E8" i="3" s="1"/>
  <c r="S131" i="8"/>
  <c r="S88" i="8"/>
  <c r="S90" i="8"/>
  <c r="S87" i="8"/>
  <c r="S86" i="8"/>
  <c r="S91" i="8"/>
  <c r="S89" i="8"/>
  <c r="S133" i="8" l="1"/>
  <c r="S132" i="8"/>
  <c r="S130" i="8"/>
  <c r="S95" i="8"/>
  <c r="S94" i="8"/>
  <c r="E12" i="5" l="1"/>
  <c r="S96" i="8"/>
  <c r="S97" i="8"/>
  <c r="E12" i="4" l="1"/>
  <c r="E6" i="3"/>
  <c r="F6" i="3" s="1"/>
  <c r="S101" i="8" l="1"/>
  <c r="S104" i="8" s="1"/>
  <c r="T104" i="8" s="1"/>
  <c r="S44" i="8"/>
  <c r="S45" i="8" s="1"/>
  <c r="U105" i="8" l="1"/>
  <c r="E13" i="4"/>
  <c r="F13" i="4" s="1"/>
  <c r="S46" i="8"/>
  <c r="E7" i="3" s="1"/>
  <c r="S102" i="8" s="1"/>
  <c r="S137" i="8" l="1"/>
  <c r="S140" i="8" s="1"/>
  <c r="T140" i="8" s="1"/>
  <c r="S105" i="8"/>
  <c r="S106" i="8" s="1"/>
  <c r="S107" i="8" s="1"/>
  <c r="E14" i="4" s="1"/>
  <c r="S138" i="8" s="1"/>
  <c r="S141" i="8" s="1"/>
  <c r="E13" i="5" l="1"/>
  <c r="F13" i="5" s="1"/>
  <c r="U141" i="8"/>
  <c r="S142" i="8" s="1"/>
  <c r="S143" i="8" s="1"/>
  <c r="S173" i="8" l="1"/>
  <c r="S176" i="8" s="1"/>
  <c r="T176" i="8" s="1"/>
  <c r="E14" i="5"/>
  <c r="S174" i="8" s="1"/>
  <c r="S177" i="8" s="1"/>
  <c r="U177" i="8" l="1"/>
  <c r="S178" i="8" s="1"/>
  <c r="S179" i="8" s="1"/>
  <c r="E13" i="6"/>
  <c r="F13" i="6" s="1"/>
  <c r="S209" i="8" l="1"/>
  <c r="S212" i="8" s="1"/>
  <c r="E14" i="6"/>
  <c r="S210" i="8" s="1"/>
  <c r="S213" i="8" s="1"/>
  <c r="T212" i="8" l="1"/>
  <c r="S214" i="8"/>
  <c r="S215" i="8" s="1"/>
  <c r="E14" i="7" s="1"/>
  <c r="E13" i="7" l="1"/>
  <c r="U213" i="8"/>
  <c r="F1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Summer Jones</author>
  </authors>
  <commentList>
    <comment ref="D4" authorId="0" shapeId="0" xr:uid="{00000000-0006-0000-0100-000001000000}">
      <text>
        <r>
          <rPr>
            <sz val="12"/>
            <color rgb="FF000000"/>
            <rFont val="Arial"/>
            <family val="2"/>
          </rPr>
          <t xml:space="preserve">Enter the date of the day you woke up. You are recording the previous night’s sleep. </t>
        </r>
      </text>
    </comment>
    <comment ref="D5" authorId="0" shapeId="0" xr:uid="{00000000-0006-0000-0100-000002000000}">
      <text>
        <r>
          <rPr>
            <sz val="12"/>
            <color rgb="FF000000"/>
            <rFont val="Arial"/>
            <family val="2"/>
          </rPr>
          <t>Estimate the total amount of time you spent napping or dozing. For example if you napped twice, once for 30 minutes and once for 60 minutes, you would enter "90".</t>
        </r>
      </text>
    </comment>
    <comment ref="E5" authorId="0" shapeId="0" xr:uid="{00000000-0006-0000-0100-000003000000}">
      <text>
        <r>
          <rPr>
            <b/>
            <u/>
            <sz val="12"/>
            <color rgb="FF000000"/>
            <rFont val="Arial"/>
            <family val="2"/>
          </rPr>
          <t xml:space="preserve">Converting Hours to Minutes
</t>
        </r>
        <r>
          <rPr>
            <u/>
            <sz val="12"/>
            <color rgb="FF000000"/>
            <rFont val="Arial"/>
            <family val="2"/>
          </rPr>
          <t xml:space="preserve">
</t>
        </r>
        <r>
          <rPr>
            <sz val="12"/>
            <color rgb="FF000000"/>
            <rFont val="Arial"/>
            <family val="2"/>
          </rPr>
          <t>HOURS  MINUTES</t>
        </r>
        <r>
          <rPr>
            <u/>
            <sz val="12"/>
            <color rgb="FF000000"/>
            <rFont val="Arial"/>
            <family val="2"/>
          </rPr>
          <t xml:space="preserve">
</t>
        </r>
        <r>
          <rPr>
            <u/>
            <sz val="12"/>
            <color rgb="FF000000"/>
            <rFont val="Arial"/>
            <family val="2"/>
          </rPr>
          <t xml:space="preserve">1       =         60
</t>
        </r>
        <r>
          <rPr>
            <u/>
            <sz val="12"/>
            <color rgb="FF000000"/>
            <rFont val="Arial"/>
            <family val="2"/>
          </rPr>
          <t xml:space="preserve">2       =       120
</t>
        </r>
        <r>
          <rPr>
            <u/>
            <sz val="12"/>
            <color rgb="FF000000"/>
            <rFont val="Arial"/>
            <family val="2"/>
          </rPr>
          <t xml:space="preserve">3       =       180
</t>
        </r>
        <r>
          <rPr>
            <u/>
            <sz val="12"/>
            <color rgb="FF000000"/>
            <rFont val="Arial"/>
            <family val="2"/>
          </rPr>
          <t xml:space="preserve">4       =       240
</t>
        </r>
        <r>
          <rPr>
            <u/>
            <sz val="12"/>
            <color rgb="FF000000"/>
            <rFont val="Arial"/>
            <family val="2"/>
          </rPr>
          <t xml:space="preserve">5       =       300
</t>
        </r>
        <r>
          <rPr>
            <u/>
            <sz val="12"/>
            <color rgb="FF000000"/>
            <rFont val="Arial"/>
            <family val="2"/>
          </rPr>
          <t xml:space="preserve">6       =       360
</t>
        </r>
        <r>
          <rPr>
            <u/>
            <sz val="12"/>
            <color rgb="FF000000"/>
            <rFont val="Arial"/>
            <family val="2"/>
          </rPr>
          <t xml:space="preserve">7       =       420
</t>
        </r>
        <r>
          <rPr>
            <u/>
            <sz val="12"/>
            <color rgb="FF000000"/>
            <rFont val="Arial"/>
            <family val="2"/>
          </rPr>
          <t xml:space="preserve">8       =       480
</t>
        </r>
        <r>
          <rPr>
            <u/>
            <sz val="12"/>
            <color rgb="FF000000"/>
            <rFont val="Arial"/>
            <family val="2"/>
          </rPr>
          <t xml:space="preserve">9       =       540
</t>
        </r>
        <r>
          <rPr>
            <u/>
            <sz val="12"/>
            <color rgb="FF000000"/>
            <rFont val="Arial"/>
            <family val="2"/>
          </rPr>
          <t xml:space="preserve">10     =       600
</t>
        </r>
        <r>
          <rPr>
            <u/>
            <sz val="12"/>
            <color rgb="FF000000"/>
            <rFont val="Arial"/>
            <family val="2"/>
          </rPr>
          <t>11     =       660</t>
        </r>
      </text>
    </comment>
    <comment ref="D6" authorId="0" shapeId="0" xr:uid="{00000000-0006-0000-0100-000004000000}">
      <text>
        <r>
          <rPr>
            <sz val="12"/>
            <color rgb="FF000000"/>
            <rFont val="Arial"/>
            <family val="34"/>
          </rPr>
          <t>Enter the time you got into bed or your designated sleeping area.
This may not be the time that you began “trying” to fall asleep.</t>
        </r>
      </text>
    </comment>
    <comment ref="E6" authorId="0" shapeId="0" xr:uid="{00000000-0006-0000-0100-000005000000}">
      <text>
        <r>
          <rPr>
            <b/>
            <u/>
            <sz val="12"/>
            <color rgb="FF000000"/>
            <rFont val="Arial"/>
            <family val="2"/>
          </rPr>
          <t>Converting Standard Time to Military Time</t>
        </r>
        <r>
          <rPr>
            <b/>
            <sz val="12"/>
            <color rgb="FF000000"/>
            <rFont val="Arial"/>
            <family val="2"/>
          </rPr>
          <t xml:space="preserve">
</t>
        </r>
        <r>
          <rPr>
            <b/>
            <sz val="12"/>
            <color rgb="FF000000"/>
            <rFont val="Arial"/>
            <family val="2"/>
          </rPr>
          <t xml:space="preserve">     </t>
        </r>
        <r>
          <rPr>
            <b/>
            <u/>
            <sz val="12"/>
            <color rgb="FF000000"/>
            <rFont val="Arial"/>
            <family val="2"/>
          </rPr>
          <t xml:space="preserve">
</t>
        </r>
        <r>
          <rPr>
            <u/>
            <sz val="12"/>
            <color rgb="FF000000"/>
            <rFont val="Arial"/>
            <family val="2"/>
          </rPr>
          <t>12 AM = 0:00</t>
        </r>
        <r>
          <rPr>
            <sz val="12"/>
            <color rgb="FF000000"/>
            <rFont val="Arial"/>
            <family val="2"/>
          </rPr>
          <t xml:space="preserve">    </t>
        </r>
        <r>
          <rPr>
            <u/>
            <sz val="12"/>
            <color rgb="FF000000"/>
            <rFont val="Arial"/>
            <family val="2"/>
          </rPr>
          <t xml:space="preserve">12 PM = 12:00
</t>
        </r>
        <r>
          <rPr>
            <u/>
            <sz val="12"/>
            <color rgb="FF000000"/>
            <rFont val="Arial"/>
            <family val="2"/>
          </rPr>
          <t>1 AM = 1:00</t>
        </r>
        <r>
          <rPr>
            <sz val="12"/>
            <color rgb="FF000000"/>
            <rFont val="Arial"/>
            <family val="2"/>
          </rPr>
          <t xml:space="preserve">    </t>
        </r>
        <r>
          <rPr>
            <u/>
            <sz val="12"/>
            <color rgb="FF000000"/>
            <rFont val="Arial"/>
            <family val="2"/>
          </rPr>
          <t xml:space="preserve">1 PM = 13:00 
</t>
        </r>
        <r>
          <rPr>
            <u/>
            <sz val="12"/>
            <color rgb="FF000000"/>
            <rFont val="Arial"/>
            <family val="2"/>
          </rPr>
          <t>2 AM = 2:00</t>
        </r>
        <r>
          <rPr>
            <sz val="12"/>
            <color rgb="FF000000"/>
            <rFont val="Arial"/>
            <family val="2"/>
          </rPr>
          <t xml:space="preserve">    </t>
        </r>
        <r>
          <rPr>
            <u/>
            <sz val="12"/>
            <color rgb="FF000000"/>
            <rFont val="Arial"/>
            <family val="2"/>
          </rPr>
          <t xml:space="preserve">2 PM = 14:00
</t>
        </r>
        <r>
          <rPr>
            <u/>
            <sz val="12"/>
            <color rgb="FF000000"/>
            <rFont val="Arial"/>
            <family val="2"/>
          </rPr>
          <t>3 AM = 3:00</t>
        </r>
        <r>
          <rPr>
            <sz val="12"/>
            <color rgb="FF000000"/>
            <rFont val="Arial"/>
            <family val="2"/>
          </rPr>
          <t xml:space="preserve">    </t>
        </r>
        <r>
          <rPr>
            <u/>
            <sz val="12"/>
            <color rgb="FF000000"/>
            <rFont val="Arial"/>
            <family val="2"/>
          </rPr>
          <t xml:space="preserve">3 PM = 15:00
</t>
        </r>
        <r>
          <rPr>
            <u/>
            <sz val="12"/>
            <color rgb="FF000000"/>
            <rFont val="Arial"/>
            <family val="2"/>
          </rPr>
          <t>4 AM = 4:00</t>
        </r>
        <r>
          <rPr>
            <sz val="12"/>
            <color rgb="FF000000"/>
            <rFont val="Arial"/>
            <family val="2"/>
          </rPr>
          <t xml:space="preserve">    </t>
        </r>
        <r>
          <rPr>
            <u/>
            <sz val="12"/>
            <color rgb="FF000000"/>
            <rFont val="Arial"/>
            <family val="2"/>
          </rPr>
          <t xml:space="preserve">4 PM = 16:00
</t>
        </r>
        <r>
          <rPr>
            <u/>
            <sz val="12"/>
            <color rgb="FF000000"/>
            <rFont val="Arial"/>
            <family val="2"/>
          </rPr>
          <t>5 AM = 5:00</t>
        </r>
        <r>
          <rPr>
            <sz val="12"/>
            <color rgb="FF000000"/>
            <rFont val="Arial"/>
            <family val="2"/>
          </rPr>
          <t xml:space="preserve">    </t>
        </r>
        <r>
          <rPr>
            <u/>
            <sz val="12"/>
            <color rgb="FF000000"/>
            <rFont val="Arial"/>
            <family val="2"/>
          </rPr>
          <t xml:space="preserve">5 PM = 17:00
</t>
        </r>
        <r>
          <rPr>
            <u/>
            <sz val="12"/>
            <color rgb="FF000000"/>
            <rFont val="Arial"/>
            <family val="2"/>
          </rPr>
          <t>6 AM = 6:00</t>
        </r>
        <r>
          <rPr>
            <sz val="12"/>
            <color rgb="FF000000"/>
            <rFont val="Arial"/>
            <family val="2"/>
          </rPr>
          <t xml:space="preserve">    </t>
        </r>
        <r>
          <rPr>
            <u/>
            <sz val="12"/>
            <color rgb="FF000000"/>
            <rFont val="Arial"/>
            <family val="2"/>
          </rPr>
          <t xml:space="preserve">6 PM = 18:00
</t>
        </r>
        <r>
          <rPr>
            <u/>
            <sz val="12"/>
            <color rgb="FF000000"/>
            <rFont val="Arial"/>
            <family val="2"/>
          </rPr>
          <t>7 AM = 7:00</t>
        </r>
        <r>
          <rPr>
            <sz val="12"/>
            <color rgb="FF000000"/>
            <rFont val="Arial"/>
            <family val="2"/>
          </rPr>
          <t xml:space="preserve">    </t>
        </r>
        <r>
          <rPr>
            <u/>
            <sz val="12"/>
            <color rgb="FF000000"/>
            <rFont val="Arial"/>
            <family val="2"/>
          </rPr>
          <t xml:space="preserve">7 PM = 19:00
</t>
        </r>
        <r>
          <rPr>
            <u/>
            <sz val="12"/>
            <color rgb="FF000000"/>
            <rFont val="Arial"/>
            <family val="2"/>
          </rPr>
          <t>8 AM = 8:00</t>
        </r>
        <r>
          <rPr>
            <sz val="12"/>
            <color rgb="FF000000"/>
            <rFont val="Arial"/>
            <family val="2"/>
          </rPr>
          <t xml:space="preserve">    </t>
        </r>
        <r>
          <rPr>
            <u/>
            <sz val="12"/>
            <color rgb="FF000000"/>
            <rFont val="Arial"/>
            <family val="2"/>
          </rPr>
          <t xml:space="preserve">8 PM = 20:00
</t>
        </r>
        <r>
          <rPr>
            <u/>
            <sz val="12"/>
            <color rgb="FF000000"/>
            <rFont val="Arial"/>
            <family val="2"/>
          </rPr>
          <t>9 AM = 9:00</t>
        </r>
        <r>
          <rPr>
            <sz val="12"/>
            <color rgb="FF000000"/>
            <rFont val="Arial"/>
            <family val="2"/>
          </rPr>
          <t xml:space="preserve">    </t>
        </r>
        <r>
          <rPr>
            <u/>
            <sz val="12"/>
            <color rgb="FF000000"/>
            <rFont val="Arial"/>
            <family val="2"/>
          </rPr>
          <t xml:space="preserve">9 PM = 21:00
</t>
        </r>
        <r>
          <rPr>
            <u/>
            <sz val="12"/>
            <color rgb="FF000000"/>
            <rFont val="Arial"/>
            <family val="2"/>
          </rPr>
          <t>10 AM = 10:00</t>
        </r>
        <r>
          <rPr>
            <sz val="12"/>
            <color rgb="FF000000"/>
            <rFont val="Arial"/>
            <family val="2"/>
          </rPr>
          <t xml:space="preserve">   </t>
        </r>
        <r>
          <rPr>
            <u/>
            <sz val="12"/>
            <color rgb="FF000000"/>
            <rFont val="Arial"/>
            <family val="2"/>
          </rPr>
          <t xml:space="preserve">10 PM = 22:00
</t>
        </r>
        <r>
          <rPr>
            <u/>
            <sz val="12"/>
            <color rgb="FF000000"/>
            <rFont val="Arial"/>
            <family val="2"/>
          </rPr>
          <t>11 AM = 11:00</t>
        </r>
        <r>
          <rPr>
            <sz val="12"/>
            <color rgb="FF000000"/>
            <rFont val="Arial"/>
            <family val="2"/>
          </rPr>
          <t xml:space="preserve">    </t>
        </r>
        <r>
          <rPr>
            <u/>
            <sz val="12"/>
            <color rgb="FF000000"/>
            <rFont val="Arial"/>
            <family val="2"/>
          </rPr>
          <t>11 PM = 23:00</t>
        </r>
        <r>
          <rPr>
            <sz val="12"/>
            <color rgb="FF000000"/>
            <rFont val="Arial"/>
            <family val="2"/>
          </rPr>
          <t xml:space="preserve">
</t>
        </r>
      </text>
    </comment>
    <comment ref="D7" authorId="0" shapeId="0" xr:uid="{00000000-0006-0000-0100-000006000000}">
      <text>
        <r>
          <rPr>
            <sz val="12"/>
            <color rgb="FF000000"/>
            <rFont val="Arial"/>
            <family val="34"/>
          </rPr>
          <t xml:space="preserve">Enter the time you began “trying” to fall asleep. 
</t>
        </r>
      </text>
    </comment>
    <comment ref="D8" authorId="0" shapeId="0" xr:uid="{00000000-0006-0000-0100-000007000000}">
      <text>
        <r>
          <rPr>
            <sz val="12"/>
            <color rgb="FF000000"/>
            <rFont val="Arial"/>
            <family val="2"/>
          </rPr>
          <t>Beginning at the time you started trying to go to sleep, record how long it took you to fall asleep. This will be an estimate.</t>
        </r>
      </text>
    </comment>
    <comment ref="D9" authorId="0" shapeId="0" xr:uid="{00000000-0006-0000-0100-000008000000}">
      <text>
        <r>
          <rPr>
            <sz val="12"/>
            <color rgb="FF000000"/>
            <rFont val="Arial"/>
            <family val="34"/>
          </rPr>
          <t xml:space="preserve">Enter the number of times you woke between the time you first fell asleep and your final awakening. </t>
        </r>
      </text>
    </comment>
    <comment ref="D10" authorId="0" shapeId="0" xr:uid="{00000000-0006-0000-0100-000009000000}">
      <text>
        <r>
          <rPr>
            <sz val="12"/>
            <color rgb="FF000000"/>
            <rFont val="Arial"/>
            <family val="2"/>
          </rPr>
          <t>Enter the number of minutes you were awake during the night. This is the total time you were awake between the time you first fell asleep and your final awakening. For example, Robert woke 3 times: twice for 10 minutes and once for 30 minutes. Robert added them together to get a total of 50 minutes (10 + 10 + 30) that he was awake in the middle of the night..</t>
        </r>
      </text>
    </comment>
    <comment ref="D11" authorId="0" shapeId="0" xr:uid="{00000000-0006-0000-0100-00000A000000}">
      <text>
        <r>
          <rPr>
            <sz val="12"/>
            <color rgb="FF000000"/>
            <rFont val="Arial"/>
            <family val="2"/>
          </rPr>
          <t>Enter the time you woke up for the day. This is the last time you woke up before starting your day. For example, Robert woke up at 6:00 a.m. but did not get out of bed until 6:30 a.m. He would input "6:00" in this block.</t>
        </r>
      </text>
    </comment>
    <comment ref="D12" authorId="0" shapeId="0" xr:uid="{00000000-0006-0000-0100-00000B000000}">
      <text>
        <r>
          <rPr>
            <sz val="12"/>
            <color rgb="FF000000"/>
            <rFont val="Arial"/>
            <family val="2"/>
          </rPr>
          <t>Enter the time you got out of bed. This is the last time you woke up before starting your day with no further attempt at going back to sleep. This may be different from your final awakening time. For example, Robert woke up at 6:00 a.m. but did not get out of bed until 6:30 a.m. He would input "6:30" in this block.</t>
        </r>
      </text>
    </comment>
    <comment ref="D13" authorId="0" shapeId="0" xr:uid="{00000000-0006-0000-0100-00000C000000}">
      <text>
        <r>
          <rPr>
            <sz val="12"/>
            <color rgb="FF000000"/>
            <rFont val="Arial"/>
            <family val="34"/>
          </rPr>
          <t xml:space="preserve">This is the difference between </t>
        </r>
        <r>
          <rPr>
            <sz val="12"/>
            <color rgb="FF000000"/>
            <rFont val="Arial"/>
            <family val="2"/>
          </rPr>
          <t>your final awakening and when you wanted to wake up.  For example, Robert woke up at 6:00 a.m. but did not want to wake up until 6:30 a.m. He would input "30" in this block.</t>
        </r>
      </text>
    </comment>
    <comment ref="D14" authorId="0" shapeId="0" xr:uid="{00000000-0006-0000-0100-00000D000000}">
      <text>
        <r>
          <rPr>
            <sz val="12"/>
            <color rgb="FF000000"/>
            <rFont val="Arial"/>
            <family val="2"/>
          </rPr>
          <t>Select from the drop down menu to rate the quality of your sleep. "Sleep Quality" is your sense of whether your sleep was good or poor. Did you wake refreshed or not?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Summer Jones</author>
  </authors>
  <commentList>
    <comment ref="D13" authorId="0" shapeId="0" xr:uid="{00000000-0006-0000-0200-000001000000}">
      <text>
        <r>
          <rPr>
            <sz val="12"/>
            <color rgb="FF000000"/>
            <rFont val="Arial"/>
            <family val="2"/>
          </rPr>
          <t xml:space="preserve">Enter the date of the day you woke up. You are recording the previous night’s sleep. </t>
        </r>
      </text>
    </comment>
    <comment ref="D14" authorId="0" shapeId="0" xr:uid="{00000000-0006-0000-0200-000002000000}">
      <text>
        <r>
          <rPr>
            <sz val="12"/>
            <color rgb="FF000000"/>
            <rFont val="Arial"/>
            <family val="2"/>
          </rPr>
          <t>Estimate the total amount of time you spent napping or dozing. For example if you napped twice, once for 30 minutes and once for 60 minutes, you would enter "90".</t>
        </r>
      </text>
    </comment>
    <comment ref="E14" authorId="0" shapeId="0" xr:uid="{00000000-0006-0000-0200-000003000000}">
      <text>
        <r>
          <rPr>
            <b/>
            <u/>
            <sz val="12"/>
            <color rgb="FF000000"/>
            <rFont val="Arial"/>
            <family val="2"/>
          </rPr>
          <t xml:space="preserve">Converting Hours to Minutes
</t>
        </r>
        <r>
          <rPr>
            <u/>
            <sz val="12"/>
            <color rgb="FF000000"/>
            <rFont val="Arial"/>
            <family val="2"/>
          </rPr>
          <t xml:space="preserve">
</t>
        </r>
        <r>
          <rPr>
            <sz val="12"/>
            <color rgb="FF000000"/>
            <rFont val="Arial"/>
            <family val="2"/>
          </rPr>
          <t>HOURS  MINUTES</t>
        </r>
        <r>
          <rPr>
            <u/>
            <sz val="12"/>
            <color rgb="FF000000"/>
            <rFont val="Arial"/>
            <family val="2"/>
          </rPr>
          <t xml:space="preserve">
</t>
        </r>
        <r>
          <rPr>
            <u/>
            <sz val="12"/>
            <color rgb="FF000000"/>
            <rFont val="Arial"/>
            <family val="2"/>
          </rPr>
          <t xml:space="preserve">1       =         60
</t>
        </r>
        <r>
          <rPr>
            <u/>
            <sz val="12"/>
            <color rgb="FF000000"/>
            <rFont val="Arial"/>
            <family val="2"/>
          </rPr>
          <t xml:space="preserve">2       =       120
</t>
        </r>
        <r>
          <rPr>
            <u/>
            <sz val="12"/>
            <color rgb="FF000000"/>
            <rFont val="Arial"/>
            <family val="2"/>
          </rPr>
          <t xml:space="preserve">3       =       180
</t>
        </r>
        <r>
          <rPr>
            <u/>
            <sz val="12"/>
            <color rgb="FF000000"/>
            <rFont val="Arial"/>
            <family val="2"/>
          </rPr>
          <t xml:space="preserve">4       =       240
</t>
        </r>
        <r>
          <rPr>
            <u/>
            <sz val="12"/>
            <color rgb="FF000000"/>
            <rFont val="Arial"/>
            <family val="2"/>
          </rPr>
          <t xml:space="preserve">5       =       300
</t>
        </r>
        <r>
          <rPr>
            <u/>
            <sz val="12"/>
            <color rgb="FF000000"/>
            <rFont val="Arial"/>
            <family val="2"/>
          </rPr>
          <t xml:space="preserve">6       =       360
</t>
        </r>
        <r>
          <rPr>
            <u/>
            <sz val="12"/>
            <color rgb="FF000000"/>
            <rFont val="Arial"/>
            <family val="2"/>
          </rPr>
          <t xml:space="preserve">7       =       420
</t>
        </r>
        <r>
          <rPr>
            <u/>
            <sz val="12"/>
            <color rgb="FF000000"/>
            <rFont val="Arial"/>
            <family val="2"/>
          </rPr>
          <t xml:space="preserve">8       =       480
</t>
        </r>
        <r>
          <rPr>
            <u/>
            <sz val="12"/>
            <color rgb="FF000000"/>
            <rFont val="Arial"/>
            <family val="2"/>
          </rPr>
          <t xml:space="preserve">9       =       540
</t>
        </r>
        <r>
          <rPr>
            <u/>
            <sz val="12"/>
            <color rgb="FF000000"/>
            <rFont val="Arial"/>
            <family val="2"/>
          </rPr>
          <t xml:space="preserve">10     =       600
</t>
        </r>
        <r>
          <rPr>
            <u/>
            <sz val="12"/>
            <color rgb="FF000000"/>
            <rFont val="Arial"/>
            <family val="2"/>
          </rPr>
          <t>11     =       660</t>
        </r>
      </text>
    </comment>
    <comment ref="D15" authorId="0" shapeId="0" xr:uid="{00000000-0006-0000-0200-000004000000}">
      <text>
        <r>
          <rPr>
            <sz val="12"/>
            <color rgb="FF000000"/>
            <rFont val="Calibri"/>
            <family val="2"/>
            <scheme val="minor"/>
          </rPr>
          <t>Enter the time you got into bed or your designated sleeping area.
This may not be the time that you began “trying” to fall asleep.</t>
        </r>
      </text>
    </comment>
    <comment ref="E15" authorId="0" shapeId="0" xr:uid="{00000000-0006-0000-0200-000005000000}">
      <text>
        <r>
          <rPr>
            <b/>
            <u/>
            <sz val="12"/>
            <color rgb="FF000000"/>
            <rFont val="Arial"/>
            <family val="2"/>
          </rPr>
          <t>Converting Standard Time to Military Time</t>
        </r>
        <r>
          <rPr>
            <b/>
            <sz val="12"/>
            <color rgb="FF000000"/>
            <rFont val="Arial"/>
            <family val="2"/>
          </rPr>
          <t xml:space="preserve">
</t>
        </r>
        <r>
          <rPr>
            <b/>
            <sz val="12"/>
            <color rgb="FF000000"/>
            <rFont val="Arial"/>
            <family val="2"/>
          </rPr>
          <t xml:space="preserve">     </t>
        </r>
        <r>
          <rPr>
            <b/>
            <u/>
            <sz val="12"/>
            <color rgb="FF000000"/>
            <rFont val="Arial"/>
            <family val="2"/>
          </rPr>
          <t xml:space="preserve">
</t>
        </r>
        <r>
          <rPr>
            <u/>
            <sz val="12"/>
            <color rgb="FF000000"/>
            <rFont val="Arial"/>
            <family val="2"/>
          </rPr>
          <t>12 AM = 0:00</t>
        </r>
        <r>
          <rPr>
            <sz val="12"/>
            <color rgb="FF000000"/>
            <rFont val="Arial"/>
            <family val="2"/>
          </rPr>
          <t xml:space="preserve">    </t>
        </r>
        <r>
          <rPr>
            <u/>
            <sz val="12"/>
            <color rgb="FF000000"/>
            <rFont val="Arial"/>
            <family val="2"/>
          </rPr>
          <t xml:space="preserve">12 PM = 12:00
</t>
        </r>
        <r>
          <rPr>
            <u/>
            <sz val="12"/>
            <color rgb="FF000000"/>
            <rFont val="Arial"/>
            <family val="2"/>
          </rPr>
          <t>1 AM = 1:00</t>
        </r>
        <r>
          <rPr>
            <sz val="12"/>
            <color rgb="FF000000"/>
            <rFont val="Arial"/>
            <family val="2"/>
          </rPr>
          <t xml:space="preserve">    </t>
        </r>
        <r>
          <rPr>
            <u/>
            <sz val="12"/>
            <color rgb="FF000000"/>
            <rFont val="Arial"/>
            <family val="2"/>
          </rPr>
          <t xml:space="preserve">1 PM = 13:00 
</t>
        </r>
        <r>
          <rPr>
            <u/>
            <sz val="12"/>
            <color rgb="FF000000"/>
            <rFont val="Arial"/>
            <family val="2"/>
          </rPr>
          <t>2 AM = 2:00</t>
        </r>
        <r>
          <rPr>
            <sz val="12"/>
            <color rgb="FF000000"/>
            <rFont val="Arial"/>
            <family val="2"/>
          </rPr>
          <t xml:space="preserve">    </t>
        </r>
        <r>
          <rPr>
            <u/>
            <sz val="12"/>
            <color rgb="FF000000"/>
            <rFont val="Arial"/>
            <family val="2"/>
          </rPr>
          <t xml:space="preserve">2 PM = 14:00
</t>
        </r>
        <r>
          <rPr>
            <u/>
            <sz val="12"/>
            <color rgb="FF000000"/>
            <rFont val="Arial"/>
            <family val="2"/>
          </rPr>
          <t>3 AM = 3:00</t>
        </r>
        <r>
          <rPr>
            <sz val="12"/>
            <color rgb="FF000000"/>
            <rFont val="Arial"/>
            <family val="2"/>
          </rPr>
          <t xml:space="preserve">    </t>
        </r>
        <r>
          <rPr>
            <u/>
            <sz val="12"/>
            <color rgb="FF000000"/>
            <rFont val="Arial"/>
            <family val="2"/>
          </rPr>
          <t xml:space="preserve">3 PM = 15:00
</t>
        </r>
        <r>
          <rPr>
            <u/>
            <sz val="12"/>
            <color rgb="FF000000"/>
            <rFont val="Arial"/>
            <family val="2"/>
          </rPr>
          <t>4 AM = 4:00</t>
        </r>
        <r>
          <rPr>
            <sz val="12"/>
            <color rgb="FF000000"/>
            <rFont val="Arial"/>
            <family val="2"/>
          </rPr>
          <t xml:space="preserve">    </t>
        </r>
        <r>
          <rPr>
            <u/>
            <sz val="12"/>
            <color rgb="FF000000"/>
            <rFont val="Arial"/>
            <family val="2"/>
          </rPr>
          <t xml:space="preserve">4 PM = 16:00
</t>
        </r>
        <r>
          <rPr>
            <u/>
            <sz val="12"/>
            <color rgb="FF000000"/>
            <rFont val="Arial"/>
            <family val="2"/>
          </rPr>
          <t>5 AM = 5:00</t>
        </r>
        <r>
          <rPr>
            <sz val="12"/>
            <color rgb="FF000000"/>
            <rFont val="Arial"/>
            <family val="2"/>
          </rPr>
          <t xml:space="preserve">    </t>
        </r>
        <r>
          <rPr>
            <u/>
            <sz val="12"/>
            <color rgb="FF000000"/>
            <rFont val="Arial"/>
            <family val="2"/>
          </rPr>
          <t xml:space="preserve">5 PM = 17:00
</t>
        </r>
        <r>
          <rPr>
            <u/>
            <sz val="12"/>
            <color rgb="FF000000"/>
            <rFont val="Arial"/>
            <family val="2"/>
          </rPr>
          <t>6 AM = 6:00</t>
        </r>
        <r>
          <rPr>
            <sz val="12"/>
            <color rgb="FF000000"/>
            <rFont val="Arial"/>
            <family val="2"/>
          </rPr>
          <t xml:space="preserve">    </t>
        </r>
        <r>
          <rPr>
            <u/>
            <sz val="12"/>
            <color rgb="FF000000"/>
            <rFont val="Arial"/>
            <family val="2"/>
          </rPr>
          <t xml:space="preserve">6 PM = 18:00
</t>
        </r>
        <r>
          <rPr>
            <u/>
            <sz val="12"/>
            <color rgb="FF000000"/>
            <rFont val="Arial"/>
            <family val="2"/>
          </rPr>
          <t>7 AM = 7:00</t>
        </r>
        <r>
          <rPr>
            <sz val="12"/>
            <color rgb="FF000000"/>
            <rFont val="Arial"/>
            <family val="2"/>
          </rPr>
          <t xml:space="preserve">    </t>
        </r>
        <r>
          <rPr>
            <u/>
            <sz val="12"/>
            <color rgb="FF000000"/>
            <rFont val="Arial"/>
            <family val="2"/>
          </rPr>
          <t xml:space="preserve">7 PM = 19:00
</t>
        </r>
        <r>
          <rPr>
            <u/>
            <sz val="12"/>
            <color rgb="FF000000"/>
            <rFont val="Arial"/>
            <family val="2"/>
          </rPr>
          <t>8 AM = 8:00</t>
        </r>
        <r>
          <rPr>
            <sz val="12"/>
            <color rgb="FF000000"/>
            <rFont val="Arial"/>
            <family val="2"/>
          </rPr>
          <t xml:space="preserve">    </t>
        </r>
        <r>
          <rPr>
            <u/>
            <sz val="12"/>
            <color rgb="FF000000"/>
            <rFont val="Arial"/>
            <family val="2"/>
          </rPr>
          <t xml:space="preserve">8 PM = 20:00
</t>
        </r>
        <r>
          <rPr>
            <u/>
            <sz val="12"/>
            <color rgb="FF000000"/>
            <rFont val="Arial"/>
            <family val="2"/>
          </rPr>
          <t>9 AM = 9:00</t>
        </r>
        <r>
          <rPr>
            <sz val="12"/>
            <color rgb="FF000000"/>
            <rFont val="Arial"/>
            <family val="2"/>
          </rPr>
          <t xml:space="preserve">    </t>
        </r>
        <r>
          <rPr>
            <u/>
            <sz val="12"/>
            <color rgb="FF000000"/>
            <rFont val="Arial"/>
            <family val="2"/>
          </rPr>
          <t xml:space="preserve">9 PM = 21:00
</t>
        </r>
        <r>
          <rPr>
            <u/>
            <sz val="12"/>
            <color rgb="FF000000"/>
            <rFont val="Arial"/>
            <family val="2"/>
          </rPr>
          <t>10 AM = 10:00</t>
        </r>
        <r>
          <rPr>
            <sz val="12"/>
            <color rgb="FF000000"/>
            <rFont val="Arial"/>
            <family val="2"/>
          </rPr>
          <t xml:space="preserve">   </t>
        </r>
        <r>
          <rPr>
            <u/>
            <sz val="12"/>
            <color rgb="FF000000"/>
            <rFont val="Arial"/>
            <family val="2"/>
          </rPr>
          <t xml:space="preserve">10 PM = 22:00
</t>
        </r>
        <r>
          <rPr>
            <u/>
            <sz val="12"/>
            <color rgb="FF000000"/>
            <rFont val="Arial"/>
            <family val="2"/>
          </rPr>
          <t>11 AM = 11:00</t>
        </r>
        <r>
          <rPr>
            <sz val="12"/>
            <color rgb="FF000000"/>
            <rFont val="Arial"/>
            <family val="2"/>
          </rPr>
          <t xml:space="preserve">    </t>
        </r>
        <r>
          <rPr>
            <u/>
            <sz val="12"/>
            <color rgb="FF000000"/>
            <rFont val="Arial"/>
            <family val="2"/>
          </rPr>
          <t>11 PM = 23:00</t>
        </r>
        <r>
          <rPr>
            <sz val="12"/>
            <color rgb="FF000000"/>
            <rFont val="Arial"/>
            <family val="2"/>
          </rPr>
          <t xml:space="preserve">
</t>
        </r>
      </text>
    </comment>
    <comment ref="D16" authorId="0" shapeId="0" xr:uid="{00000000-0006-0000-0200-000006000000}">
      <text>
        <r>
          <rPr>
            <sz val="12"/>
            <color rgb="FF000000"/>
            <rFont val="Calibri"/>
            <family val="2"/>
            <scheme val="minor"/>
          </rPr>
          <t xml:space="preserve">Enter the time you began “trying” to fall asleep. </t>
        </r>
      </text>
    </comment>
    <comment ref="D17" authorId="0" shapeId="0" xr:uid="{00000000-0006-0000-0200-000007000000}">
      <text>
        <r>
          <rPr>
            <sz val="12"/>
            <color rgb="FF000000"/>
            <rFont val="Arial"/>
            <family val="34"/>
          </rPr>
          <t>Beginning at the time you started trying to go to sleep, record how long it took you to fall asleep. This will be an estimate.</t>
        </r>
      </text>
    </comment>
    <comment ref="D18" authorId="0" shapeId="0" xr:uid="{00000000-0006-0000-0200-000008000000}">
      <text>
        <r>
          <rPr>
            <sz val="12"/>
            <color rgb="FF000000"/>
            <rFont val="Arial"/>
            <family val="34"/>
          </rPr>
          <t xml:space="preserve">Enter the number of times you woke between the time you first fell asleep and your final awakening. </t>
        </r>
      </text>
    </comment>
    <comment ref="D19" authorId="0" shapeId="0" xr:uid="{00000000-0006-0000-0200-000009000000}">
      <text>
        <r>
          <rPr>
            <sz val="12"/>
            <color rgb="FF000000"/>
            <rFont val="Arial"/>
            <family val="2"/>
          </rPr>
          <t>Enter the number of minutes you were awake during the night. This is the total time you were awake between the time you first fell asleep and your final awakening. For example, Robert woke 3 times: twice for 10 minutes and once for 30 minutes. Robert added them together to get a total of 50 minutes (10 + 10 + 30) that he was awake in the middle of the night..</t>
        </r>
      </text>
    </comment>
    <comment ref="D20" authorId="0" shapeId="0" xr:uid="{00000000-0006-0000-0200-00000A000000}">
      <text>
        <r>
          <rPr>
            <sz val="12"/>
            <color rgb="FF000000"/>
            <rFont val="Arial"/>
            <family val="2"/>
          </rPr>
          <t>Enter the time you woke up for the day. This is the last time you woke up before starting your day. For example, Robert woke up at 6:00 a.m. but did not get out of bed until 6:30 a.m. He would input "6:00" in this block.</t>
        </r>
      </text>
    </comment>
    <comment ref="D21" authorId="0" shapeId="0" xr:uid="{00000000-0006-0000-0200-00000B000000}">
      <text>
        <r>
          <rPr>
            <sz val="12"/>
            <color rgb="FF000000"/>
            <rFont val="Arial"/>
            <family val="2"/>
          </rPr>
          <t>Enter the time you got out of bed. This is the last time you woke up before starting your day with no further attempt at going back to sleep. This may be different from your final awakening time. For example, Robert woke up at 6:00 a.m. but did not get out of bed until 6:30 a.m. He would input "6:30" in this block.</t>
        </r>
      </text>
    </comment>
    <comment ref="D22" authorId="0" shapeId="0" xr:uid="{00000000-0006-0000-0200-00000C000000}">
      <text>
        <r>
          <rPr>
            <sz val="12"/>
            <color rgb="FF000000"/>
            <rFont val="Arial"/>
            <family val="2"/>
          </rPr>
          <t>This is the difference between your final awakening and when you wanted to wake up.  For example, Robert woke up at 6:00 a.m. but did not want to wake up until 6:30 a.m. He would input "30" in this block.</t>
        </r>
      </text>
    </comment>
    <comment ref="D23" authorId="0" shapeId="0" xr:uid="{00000000-0006-0000-0200-00000D000000}">
      <text>
        <r>
          <rPr>
            <sz val="12"/>
            <color rgb="FF000000"/>
            <rFont val="Arial"/>
            <family val="2"/>
          </rPr>
          <t>Select from the drop down menu to rate the quality of your sleep. "Sleep Quality" is your sense of whether your sleep was good or poor. Did you wake refreshed or not?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Summer Jones</author>
  </authors>
  <commentList>
    <comment ref="D19" authorId="0" shapeId="0" xr:uid="{00000000-0006-0000-0300-000001000000}">
      <text>
        <r>
          <rPr>
            <sz val="12"/>
            <color rgb="FF000000"/>
            <rFont val="Arial"/>
            <family val="2"/>
          </rPr>
          <t xml:space="preserve">Enter the date of the day you woke up. You are recording the previous night’s sleep. </t>
        </r>
      </text>
    </comment>
    <comment ref="D20" authorId="0" shapeId="0" xr:uid="{00000000-0006-0000-0300-000002000000}">
      <text>
        <r>
          <rPr>
            <sz val="12"/>
            <color rgb="FF000000"/>
            <rFont val="Arial"/>
            <family val="2"/>
          </rPr>
          <t>Estimate the total amount of time you spent napping or dozing. For example if you napped twice, once for 30 minutes and once for 60 minutes, you would enter "90".</t>
        </r>
      </text>
    </comment>
    <comment ref="E20" authorId="0" shapeId="0" xr:uid="{00000000-0006-0000-0300-000003000000}">
      <text>
        <r>
          <rPr>
            <b/>
            <u/>
            <sz val="12"/>
            <color rgb="FF000000"/>
            <rFont val="Arial"/>
            <family val="2"/>
          </rPr>
          <t xml:space="preserve">Converting Hours to Minutes
</t>
        </r>
        <r>
          <rPr>
            <u/>
            <sz val="12"/>
            <color rgb="FF000000"/>
            <rFont val="Arial"/>
            <family val="2"/>
          </rPr>
          <t xml:space="preserve">
</t>
        </r>
        <r>
          <rPr>
            <sz val="12"/>
            <color rgb="FF000000"/>
            <rFont val="Arial"/>
            <family val="2"/>
          </rPr>
          <t>HOURS  MINUTES</t>
        </r>
        <r>
          <rPr>
            <u/>
            <sz val="12"/>
            <color rgb="FF000000"/>
            <rFont val="Arial"/>
            <family val="2"/>
          </rPr>
          <t xml:space="preserve">
</t>
        </r>
        <r>
          <rPr>
            <u/>
            <sz val="12"/>
            <color rgb="FF000000"/>
            <rFont val="Arial"/>
            <family val="2"/>
          </rPr>
          <t xml:space="preserve">1       =         60
</t>
        </r>
        <r>
          <rPr>
            <u/>
            <sz val="12"/>
            <color rgb="FF000000"/>
            <rFont val="Arial"/>
            <family val="2"/>
          </rPr>
          <t xml:space="preserve">2       =       120
</t>
        </r>
        <r>
          <rPr>
            <u/>
            <sz val="12"/>
            <color rgb="FF000000"/>
            <rFont val="Arial"/>
            <family val="2"/>
          </rPr>
          <t xml:space="preserve">3       =       180
</t>
        </r>
        <r>
          <rPr>
            <u/>
            <sz val="12"/>
            <color rgb="FF000000"/>
            <rFont val="Arial"/>
            <family val="2"/>
          </rPr>
          <t xml:space="preserve">4       =       240
</t>
        </r>
        <r>
          <rPr>
            <u/>
            <sz val="12"/>
            <color rgb="FF000000"/>
            <rFont val="Arial"/>
            <family val="2"/>
          </rPr>
          <t xml:space="preserve">5       =       300
</t>
        </r>
        <r>
          <rPr>
            <u/>
            <sz val="12"/>
            <color rgb="FF000000"/>
            <rFont val="Arial"/>
            <family val="2"/>
          </rPr>
          <t xml:space="preserve">6       =       360
</t>
        </r>
        <r>
          <rPr>
            <u/>
            <sz val="12"/>
            <color rgb="FF000000"/>
            <rFont val="Arial"/>
            <family val="2"/>
          </rPr>
          <t xml:space="preserve">7       =       420
</t>
        </r>
        <r>
          <rPr>
            <u/>
            <sz val="12"/>
            <color rgb="FF000000"/>
            <rFont val="Arial"/>
            <family val="2"/>
          </rPr>
          <t xml:space="preserve">8       =       480
</t>
        </r>
        <r>
          <rPr>
            <u/>
            <sz val="12"/>
            <color rgb="FF000000"/>
            <rFont val="Arial"/>
            <family val="2"/>
          </rPr>
          <t xml:space="preserve">9       =       540
</t>
        </r>
        <r>
          <rPr>
            <u/>
            <sz val="12"/>
            <color rgb="FF000000"/>
            <rFont val="Arial"/>
            <family val="2"/>
          </rPr>
          <t xml:space="preserve">10     =       600
</t>
        </r>
        <r>
          <rPr>
            <u/>
            <sz val="12"/>
            <color rgb="FF000000"/>
            <rFont val="Arial"/>
            <family val="2"/>
          </rPr>
          <t>11     =       660</t>
        </r>
      </text>
    </comment>
    <comment ref="D21" authorId="0" shapeId="0" xr:uid="{00000000-0006-0000-0300-000004000000}">
      <text>
        <r>
          <rPr>
            <sz val="12"/>
            <color rgb="FF000000"/>
            <rFont val="Calibri"/>
            <family val="2"/>
            <scheme val="minor"/>
          </rPr>
          <t>Enter the time you got into bed or your designated sleeping area.
This may not be the time that you began “trying” to fall asleep.</t>
        </r>
      </text>
    </comment>
    <comment ref="E21" authorId="0" shapeId="0" xr:uid="{00000000-0006-0000-0300-000005000000}">
      <text>
        <r>
          <rPr>
            <b/>
            <u/>
            <sz val="12"/>
            <color rgb="FF000000"/>
            <rFont val="Arial"/>
            <family val="2"/>
          </rPr>
          <t>Converting Standard Time to Military Time</t>
        </r>
        <r>
          <rPr>
            <b/>
            <sz val="12"/>
            <color rgb="FF000000"/>
            <rFont val="Arial"/>
            <family val="2"/>
          </rPr>
          <t xml:space="preserve">
</t>
        </r>
        <r>
          <rPr>
            <b/>
            <sz val="12"/>
            <color rgb="FF000000"/>
            <rFont val="Arial"/>
            <family val="2"/>
          </rPr>
          <t xml:space="preserve">     </t>
        </r>
        <r>
          <rPr>
            <b/>
            <u/>
            <sz val="12"/>
            <color rgb="FF000000"/>
            <rFont val="Arial"/>
            <family val="2"/>
          </rPr>
          <t xml:space="preserve">
</t>
        </r>
        <r>
          <rPr>
            <u/>
            <sz val="12"/>
            <color rgb="FF000000"/>
            <rFont val="Arial"/>
            <family val="2"/>
          </rPr>
          <t>12 AM = 0:00</t>
        </r>
        <r>
          <rPr>
            <sz val="12"/>
            <color rgb="FF000000"/>
            <rFont val="Arial"/>
            <family val="2"/>
          </rPr>
          <t xml:space="preserve">    </t>
        </r>
        <r>
          <rPr>
            <u/>
            <sz val="12"/>
            <color rgb="FF000000"/>
            <rFont val="Arial"/>
            <family val="2"/>
          </rPr>
          <t xml:space="preserve">12 PM = 12:00
</t>
        </r>
        <r>
          <rPr>
            <u/>
            <sz val="12"/>
            <color rgb="FF000000"/>
            <rFont val="Arial"/>
            <family val="2"/>
          </rPr>
          <t>1 AM = 1:00</t>
        </r>
        <r>
          <rPr>
            <sz val="12"/>
            <color rgb="FF000000"/>
            <rFont val="Arial"/>
            <family val="2"/>
          </rPr>
          <t xml:space="preserve">    </t>
        </r>
        <r>
          <rPr>
            <u/>
            <sz val="12"/>
            <color rgb="FF000000"/>
            <rFont val="Arial"/>
            <family val="2"/>
          </rPr>
          <t xml:space="preserve">1 PM = 13:00 
</t>
        </r>
        <r>
          <rPr>
            <u/>
            <sz val="12"/>
            <color rgb="FF000000"/>
            <rFont val="Arial"/>
            <family val="2"/>
          </rPr>
          <t>2 AM = 2:00</t>
        </r>
        <r>
          <rPr>
            <sz val="12"/>
            <color rgb="FF000000"/>
            <rFont val="Arial"/>
            <family val="2"/>
          </rPr>
          <t xml:space="preserve">    </t>
        </r>
        <r>
          <rPr>
            <u/>
            <sz val="12"/>
            <color rgb="FF000000"/>
            <rFont val="Arial"/>
            <family val="2"/>
          </rPr>
          <t xml:space="preserve">2 PM = 14:00
</t>
        </r>
        <r>
          <rPr>
            <u/>
            <sz val="12"/>
            <color rgb="FF000000"/>
            <rFont val="Arial"/>
            <family val="2"/>
          </rPr>
          <t>3 AM = 3:00</t>
        </r>
        <r>
          <rPr>
            <sz val="12"/>
            <color rgb="FF000000"/>
            <rFont val="Arial"/>
            <family val="2"/>
          </rPr>
          <t xml:space="preserve">    </t>
        </r>
        <r>
          <rPr>
            <u/>
            <sz val="12"/>
            <color rgb="FF000000"/>
            <rFont val="Arial"/>
            <family val="2"/>
          </rPr>
          <t xml:space="preserve">3 PM = 15:00
</t>
        </r>
        <r>
          <rPr>
            <u/>
            <sz val="12"/>
            <color rgb="FF000000"/>
            <rFont val="Arial"/>
            <family val="2"/>
          </rPr>
          <t>4 AM = 4:00</t>
        </r>
        <r>
          <rPr>
            <sz val="12"/>
            <color rgb="FF000000"/>
            <rFont val="Arial"/>
            <family val="2"/>
          </rPr>
          <t xml:space="preserve">    </t>
        </r>
        <r>
          <rPr>
            <u/>
            <sz val="12"/>
            <color rgb="FF000000"/>
            <rFont val="Arial"/>
            <family val="2"/>
          </rPr>
          <t xml:space="preserve">4 PM = 16:00
</t>
        </r>
        <r>
          <rPr>
            <u/>
            <sz val="12"/>
            <color rgb="FF000000"/>
            <rFont val="Arial"/>
            <family val="2"/>
          </rPr>
          <t>5 AM = 5:00</t>
        </r>
        <r>
          <rPr>
            <sz val="12"/>
            <color rgb="FF000000"/>
            <rFont val="Arial"/>
            <family val="2"/>
          </rPr>
          <t xml:space="preserve">    </t>
        </r>
        <r>
          <rPr>
            <u/>
            <sz val="12"/>
            <color rgb="FF000000"/>
            <rFont val="Arial"/>
            <family val="2"/>
          </rPr>
          <t xml:space="preserve">5 PM = 17:00
</t>
        </r>
        <r>
          <rPr>
            <u/>
            <sz val="12"/>
            <color rgb="FF000000"/>
            <rFont val="Arial"/>
            <family val="2"/>
          </rPr>
          <t>6 AM = 6:00</t>
        </r>
        <r>
          <rPr>
            <sz val="12"/>
            <color rgb="FF000000"/>
            <rFont val="Arial"/>
            <family val="2"/>
          </rPr>
          <t xml:space="preserve">    </t>
        </r>
        <r>
          <rPr>
            <u/>
            <sz val="12"/>
            <color rgb="FF000000"/>
            <rFont val="Arial"/>
            <family val="2"/>
          </rPr>
          <t xml:space="preserve">6 PM = 18:00
</t>
        </r>
        <r>
          <rPr>
            <u/>
            <sz val="12"/>
            <color rgb="FF000000"/>
            <rFont val="Arial"/>
            <family val="2"/>
          </rPr>
          <t>7 AM = 7:00</t>
        </r>
        <r>
          <rPr>
            <sz val="12"/>
            <color rgb="FF000000"/>
            <rFont val="Arial"/>
            <family val="2"/>
          </rPr>
          <t xml:space="preserve">    </t>
        </r>
        <r>
          <rPr>
            <u/>
            <sz val="12"/>
            <color rgb="FF000000"/>
            <rFont val="Arial"/>
            <family val="2"/>
          </rPr>
          <t xml:space="preserve">7 PM = 19:00
</t>
        </r>
        <r>
          <rPr>
            <u/>
            <sz val="12"/>
            <color rgb="FF000000"/>
            <rFont val="Arial"/>
            <family val="2"/>
          </rPr>
          <t>8 AM = 8:00</t>
        </r>
        <r>
          <rPr>
            <sz val="12"/>
            <color rgb="FF000000"/>
            <rFont val="Arial"/>
            <family val="2"/>
          </rPr>
          <t xml:space="preserve">    </t>
        </r>
        <r>
          <rPr>
            <u/>
            <sz val="12"/>
            <color rgb="FF000000"/>
            <rFont val="Arial"/>
            <family val="2"/>
          </rPr>
          <t xml:space="preserve">8 PM = 20:00
</t>
        </r>
        <r>
          <rPr>
            <u/>
            <sz val="12"/>
            <color rgb="FF000000"/>
            <rFont val="Arial"/>
            <family val="2"/>
          </rPr>
          <t>9 AM = 9:00</t>
        </r>
        <r>
          <rPr>
            <sz val="12"/>
            <color rgb="FF000000"/>
            <rFont val="Arial"/>
            <family val="2"/>
          </rPr>
          <t xml:space="preserve">    </t>
        </r>
        <r>
          <rPr>
            <u/>
            <sz val="12"/>
            <color rgb="FF000000"/>
            <rFont val="Arial"/>
            <family val="2"/>
          </rPr>
          <t xml:space="preserve">9 PM = 21:00
</t>
        </r>
        <r>
          <rPr>
            <u/>
            <sz val="12"/>
            <color rgb="FF000000"/>
            <rFont val="Arial"/>
            <family val="2"/>
          </rPr>
          <t>10 AM = 10:00</t>
        </r>
        <r>
          <rPr>
            <sz val="12"/>
            <color rgb="FF000000"/>
            <rFont val="Arial"/>
            <family val="2"/>
          </rPr>
          <t xml:space="preserve">   </t>
        </r>
        <r>
          <rPr>
            <u/>
            <sz val="12"/>
            <color rgb="FF000000"/>
            <rFont val="Arial"/>
            <family val="2"/>
          </rPr>
          <t xml:space="preserve">10 PM = 22:00
</t>
        </r>
        <r>
          <rPr>
            <u/>
            <sz val="12"/>
            <color rgb="FF000000"/>
            <rFont val="Arial"/>
            <family val="2"/>
          </rPr>
          <t>11 AM = 11:00</t>
        </r>
        <r>
          <rPr>
            <sz val="12"/>
            <color rgb="FF000000"/>
            <rFont val="Arial"/>
            <family val="2"/>
          </rPr>
          <t xml:space="preserve">    </t>
        </r>
        <r>
          <rPr>
            <u/>
            <sz val="12"/>
            <color rgb="FF000000"/>
            <rFont val="Arial"/>
            <family val="2"/>
          </rPr>
          <t>11 PM = 23:00</t>
        </r>
        <r>
          <rPr>
            <sz val="12"/>
            <color rgb="FF000000"/>
            <rFont val="Arial"/>
            <family val="2"/>
          </rPr>
          <t xml:space="preserve">
</t>
        </r>
      </text>
    </comment>
    <comment ref="D22" authorId="0" shapeId="0" xr:uid="{00000000-0006-0000-0300-000006000000}">
      <text>
        <r>
          <rPr>
            <sz val="12"/>
            <color rgb="FF000000"/>
            <rFont val="Calibri"/>
            <family val="2"/>
          </rPr>
          <t xml:space="preserve">Enter the time you began “trying” to fall asleep. </t>
        </r>
      </text>
    </comment>
    <comment ref="D23" authorId="0" shapeId="0" xr:uid="{00000000-0006-0000-0300-000007000000}">
      <text>
        <r>
          <rPr>
            <sz val="12"/>
            <color rgb="FF000000"/>
            <rFont val="Calibri"/>
            <family val="2"/>
          </rPr>
          <t>Beginning at the time you started trying to go to sleep, record how long it took you to fall asleep. This will be an estimate.</t>
        </r>
      </text>
    </comment>
    <comment ref="D24" authorId="0" shapeId="0" xr:uid="{00000000-0006-0000-0300-000008000000}">
      <text>
        <r>
          <rPr>
            <sz val="12"/>
            <color rgb="FF000000"/>
            <rFont val="Arial"/>
            <family val="34"/>
          </rPr>
          <t xml:space="preserve">Enter the number of times you woke between the time you first fell asleep and your final awakening. </t>
        </r>
      </text>
    </comment>
    <comment ref="D25" authorId="0" shapeId="0" xr:uid="{00000000-0006-0000-0300-000009000000}">
      <text>
        <r>
          <rPr>
            <sz val="12"/>
            <color rgb="FF000000"/>
            <rFont val="Arial"/>
            <family val="2"/>
          </rPr>
          <t>Enter the number of minutes you were awake during the night. This is the total time you were awake between the time you first fell asleep and your final awakening. For example, Robert woke 3 times: twice for 10 minutes and once for 30 minutes. Robert added them together to get a total of 50 minutes (10 + 10 + 30) that he was awake in the middle of the night..</t>
        </r>
      </text>
    </comment>
    <comment ref="D26" authorId="0" shapeId="0" xr:uid="{00000000-0006-0000-0300-00000A000000}">
      <text>
        <r>
          <rPr>
            <sz val="12"/>
            <color rgb="FF000000"/>
            <rFont val="Arial"/>
            <family val="2"/>
          </rPr>
          <t>Enter the time you woke up for the day. This is the last time you woke up before starting your day. For example, Robert woke up at 6:00 a.m. but did not get out of bed until 6:30 a.m. He would input "6:00" in this block.</t>
        </r>
      </text>
    </comment>
    <comment ref="D27" authorId="0" shapeId="0" xr:uid="{00000000-0006-0000-0300-00000B000000}">
      <text>
        <r>
          <rPr>
            <sz val="12"/>
            <color rgb="FF000000"/>
            <rFont val="Arial"/>
            <family val="2"/>
          </rPr>
          <t>Enter the time you got out of bed. This is the last time you woke up before starting your day with no further attempt at going back to sleep. This may be different from your final awakening time. For example, Robert woke up at 6:00 a.m. but did not get out of bed until 6:30 a.m. He would input "6:30" in this block.</t>
        </r>
      </text>
    </comment>
    <comment ref="D28" authorId="0" shapeId="0" xr:uid="{00000000-0006-0000-0300-00000C000000}">
      <text>
        <r>
          <rPr>
            <sz val="12"/>
            <color rgb="FF000000"/>
            <rFont val="Arial"/>
            <family val="2"/>
          </rPr>
          <t>This is the difference between your final awakening and when you wanted to wake up.  For example, Robert woke up at 6:00 a.m. but did not want to wake up until 6:30 a.m. He would input "30" in this block.</t>
        </r>
      </text>
    </comment>
    <comment ref="D29" authorId="0" shapeId="0" xr:uid="{00000000-0006-0000-0300-00000D000000}">
      <text>
        <r>
          <rPr>
            <sz val="12"/>
            <color rgb="FF000000"/>
            <rFont val="Arial"/>
            <family val="2"/>
          </rPr>
          <t>Select from the drop down menu to rate the quality of your sleep. "Sleep Quality" is your sense of whether your sleep was good or poor. Did you wake refreshed or not?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Summer Jones</author>
  </authors>
  <commentList>
    <comment ref="D19" authorId="0" shapeId="0" xr:uid="{00000000-0006-0000-0400-000001000000}">
      <text>
        <r>
          <rPr>
            <sz val="12"/>
            <color indexed="81"/>
            <rFont val="Arial"/>
            <family val="2"/>
          </rPr>
          <t xml:space="preserve">Enter the date of the day you woke up. You are recording the previous night’s sleep. </t>
        </r>
      </text>
    </comment>
    <comment ref="D20" authorId="0" shapeId="0" xr:uid="{00000000-0006-0000-0400-000002000000}">
      <text>
        <r>
          <rPr>
            <sz val="12"/>
            <color rgb="FF000000"/>
            <rFont val="Arial"/>
            <family val="2"/>
          </rPr>
          <t>Estimate the total amount of time you spent napping or dozing. For example if you napped twice, once for 30 minutes and once for 60 minutes, you would enter "90".</t>
        </r>
      </text>
    </comment>
    <comment ref="E20" authorId="0" shapeId="0" xr:uid="{00000000-0006-0000-0400-000003000000}">
      <text>
        <r>
          <rPr>
            <b/>
            <u/>
            <sz val="12"/>
            <color rgb="FF000000"/>
            <rFont val="Arial"/>
            <family val="2"/>
          </rPr>
          <t xml:space="preserve">Converting Hours to Minutes
</t>
        </r>
        <r>
          <rPr>
            <u/>
            <sz val="12"/>
            <color rgb="FF000000"/>
            <rFont val="Arial"/>
            <family val="2"/>
          </rPr>
          <t xml:space="preserve">
</t>
        </r>
        <r>
          <rPr>
            <sz val="12"/>
            <color rgb="FF000000"/>
            <rFont val="Arial"/>
            <family val="2"/>
          </rPr>
          <t>HOURS  MINUTES</t>
        </r>
        <r>
          <rPr>
            <u/>
            <sz val="12"/>
            <color rgb="FF000000"/>
            <rFont val="Arial"/>
            <family val="2"/>
          </rPr>
          <t xml:space="preserve">
</t>
        </r>
        <r>
          <rPr>
            <u/>
            <sz val="12"/>
            <color rgb="FF000000"/>
            <rFont val="Arial"/>
            <family val="2"/>
          </rPr>
          <t xml:space="preserve">1       =         60
</t>
        </r>
        <r>
          <rPr>
            <u/>
            <sz val="12"/>
            <color rgb="FF000000"/>
            <rFont val="Arial"/>
            <family val="2"/>
          </rPr>
          <t xml:space="preserve">2       =       120
</t>
        </r>
        <r>
          <rPr>
            <u/>
            <sz val="12"/>
            <color rgb="FF000000"/>
            <rFont val="Arial"/>
            <family val="2"/>
          </rPr>
          <t xml:space="preserve">3       =       180
</t>
        </r>
        <r>
          <rPr>
            <u/>
            <sz val="12"/>
            <color rgb="FF000000"/>
            <rFont val="Arial"/>
            <family val="2"/>
          </rPr>
          <t xml:space="preserve">4       =       240
</t>
        </r>
        <r>
          <rPr>
            <u/>
            <sz val="12"/>
            <color rgb="FF000000"/>
            <rFont val="Arial"/>
            <family val="2"/>
          </rPr>
          <t xml:space="preserve">5       =       300
</t>
        </r>
        <r>
          <rPr>
            <u/>
            <sz val="12"/>
            <color rgb="FF000000"/>
            <rFont val="Arial"/>
            <family val="2"/>
          </rPr>
          <t xml:space="preserve">6       =       360
</t>
        </r>
        <r>
          <rPr>
            <u/>
            <sz val="12"/>
            <color rgb="FF000000"/>
            <rFont val="Arial"/>
            <family val="2"/>
          </rPr>
          <t xml:space="preserve">7       =       420
</t>
        </r>
        <r>
          <rPr>
            <u/>
            <sz val="12"/>
            <color rgb="FF000000"/>
            <rFont val="Arial"/>
            <family val="2"/>
          </rPr>
          <t xml:space="preserve">8       =       480
</t>
        </r>
        <r>
          <rPr>
            <u/>
            <sz val="12"/>
            <color rgb="FF000000"/>
            <rFont val="Arial"/>
            <family val="2"/>
          </rPr>
          <t xml:space="preserve">9       =       540
</t>
        </r>
        <r>
          <rPr>
            <u/>
            <sz val="12"/>
            <color rgb="FF000000"/>
            <rFont val="Arial"/>
            <family val="2"/>
          </rPr>
          <t xml:space="preserve">10     =       600
</t>
        </r>
        <r>
          <rPr>
            <u/>
            <sz val="12"/>
            <color rgb="FF000000"/>
            <rFont val="Arial"/>
            <family val="2"/>
          </rPr>
          <t>11     =       660</t>
        </r>
      </text>
    </comment>
    <comment ref="D21" authorId="0" shapeId="0" xr:uid="{00000000-0006-0000-0400-000004000000}">
      <text>
        <r>
          <rPr>
            <sz val="12"/>
            <color rgb="FF000000"/>
            <rFont val="Calibri"/>
            <family val="2"/>
            <scheme val="minor"/>
          </rPr>
          <t>Enter the time you got into bed or your designated sleeping area.
This may not be the time that you began “trying” to fall asleep.</t>
        </r>
      </text>
    </comment>
    <comment ref="E21" authorId="0" shapeId="0" xr:uid="{00000000-0006-0000-0400-000005000000}">
      <text>
        <r>
          <rPr>
            <b/>
            <u/>
            <sz val="12"/>
            <color indexed="81"/>
            <rFont val="Arial"/>
            <family val="2"/>
          </rPr>
          <t>Converting Standard Time to Military Time</t>
        </r>
        <r>
          <rPr>
            <b/>
            <sz val="12"/>
            <color indexed="81"/>
            <rFont val="Arial"/>
            <family val="2"/>
          </rPr>
          <t xml:space="preserve">
     </t>
        </r>
        <r>
          <rPr>
            <b/>
            <u/>
            <sz val="12"/>
            <color indexed="81"/>
            <rFont val="Arial"/>
            <family val="2"/>
          </rPr>
          <t xml:space="preserve">
</t>
        </r>
        <r>
          <rPr>
            <u/>
            <sz val="12"/>
            <color indexed="81"/>
            <rFont val="Arial"/>
            <family val="2"/>
          </rPr>
          <t>12 AM = 0:00</t>
        </r>
        <r>
          <rPr>
            <sz val="12"/>
            <color indexed="81"/>
            <rFont val="Arial"/>
            <family val="2"/>
          </rPr>
          <t xml:space="preserve">    </t>
        </r>
        <r>
          <rPr>
            <u/>
            <sz val="12"/>
            <color indexed="81"/>
            <rFont val="Arial"/>
            <family val="2"/>
          </rPr>
          <t>12 PM = 12:00
1 AM = 1:00</t>
        </r>
        <r>
          <rPr>
            <sz val="12"/>
            <color indexed="81"/>
            <rFont val="Arial"/>
            <family val="2"/>
          </rPr>
          <t xml:space="preserve">    </t>
        </r>
        <r>
          <rPr>
            <u/>
            <sz val="12"/>
            <color indexed="81"/>
            <rFont val="Arial"/>
            <family val="2"/>
          </rPr>
          <t>1 PM = 13:00 
2 AM = 2:00</t>
        </r>
        <r>
          <rPr>
            <sz val="12"/>
            <color indexed="81"/>
            <rFont val="Arial"/>
            <family val="2"/>
          </rPr>
          <t xml:space="preserve">    </t>
        </r>
        <r>
          <rPr>
            <u/>
            <sz val="12"/>
            <color indexed="81"/>
            <rFont val="Arial"/>
            <family val="2"/>
          </rPr>
          <t>2 PM = 14:00
3 AM = 3:00</t>
        </r>
        <r>
          <rPr>
            <sz val="12"/>
            <color indexed="81"/>
            <rFont val="Arial"/>
            <family val="2"/>
          </rPr>
          <t xml:space="preserve">    </t>
        </r>
        <r>
          <rPr>
            <u/>
            <sz val="12"/>
            <color indexed="81"/>
            <rFont val="Arial"/>
            <family val="2"/>
          </rPr>
          <t>3 PM = 15:00
4 AM = 4:00</t>
        </r>
        <r>
          <rPr>
            <sz val="12"/>
            <color indexed="81"/>
            <rFont val="Arial"/>
            <family val="2"/>
          </rPr>
          <t xml:space="preserve">    </t>
        </r>
        <r>
          <rPr>
            <u/>
            <sz val="12"/>
            <color indexed="81"/>
            <rFont val="Arial"/>
            <family val="2"/>
          </rPr>
          <t>4 PM = 16:00
5 AM = 5:00</t>
        </r>
        <r>
          <rPr>
            <sz val="12"/>
            <color indexed="81"/>
            <rFont val="Arial"/>
            <family val="2"/>
          </rPr>
          <t xml:space="preserve">    </t>
        </r>
        <r>
          <rPr>
            <u/>
            <sz val="12"/>
            <color indexed="81"/>
            <rFont val="Arial"/>
            <family val="2"/>
          </rPr>
          <t>5 PM = 17:00
6 AM = 6:00</t>
        </r>
        <r>
          <rPr>
            <sz val="12"/>
            <color indexed="81"/>
            <rFont val="Arial"/>
            <family val="2"/>
          </rPr>
          <t xml:space="preserve">    </t>
        </r>
        <r>
          <rPr>
            <u/>
            <sz val="12"/>
            <color indexed="81"/>
            <rFont val="Arial"/>
            <family val="2"/>
          </rPr>
          <t>6 PM = 18:00
7 AM = 7:00</t>
        </r>
        <r>
          <rPr>
            <sz val="12"/>
            <color indexed="81"/>
            <rFont val="Arial"/>
            <family val="2"/>
          </rPr>
          <t xml:space="preserve">    </t>
        </r>
        <r>
          <rPr>
            <u/>
            <sz val="12"/>
            <color indexed="81"/>
            <rFont val="Arial"/>
            <family val="2"/>
          </rPr>
          <t>7 PM = 19:00
8 AM = 8:00</t>
        </r>
        <r>
          <rPr>
            <sz val="12"/>
            <color indexed="81"/>
            <rFont val="Arial"/>
            <family val="2"/>
          </rPr>
          <t xml:space="preserve">    </t>
        </r>
        <r>
          <rPr>
            <u/>
            <sz val="12"/>
            <color indexed="81"/>
            <rFont val="Arial"/>
            <family val="2"/>
          </rPr>
          <t>8 PM = 20:00
9 AM = 9:00</t>
        </r>
        <r>
          <rPr>
            <sz val="12"/>
            <color indexed="81"/>
            <rFont val="Arial"/>
            <family val="2"/>
          </rPr>
          <t xml:space="preserve">    </t>
        </r>
        <r>
          <rPr>
            <u/>
            <sz val="12"/>
            <color indexed="81"/>
            <rFont val="Arial"/>
            <family val="2"/>
          </rPr>
          <t>9 PM = 21:00
10 AM = 10:00</t>
        </r>
        <r>
          <rPr>
            <sz val="12"/>
            <color indexed="81"/>
            <rFont val="Arial"/>
            <family val="2"/>
          </rPr>
          <t xml:space="preserve">   </t>
        </r>
        <r>
          <rPr>
            <u/>
            <sz val="12"/>
            <color indexed="81"/>
            <rFont val="Arial"/>
            <family val="2"/>
          </rPr>
          <t>10 PM = 22:00
11 AM = 11:00</t>
        </r>
        <r>
          <rPr>
            <sz val="12"/>
            <color indexed="81"/>
            <rFont val="Arial"/>
            <family val="2"/>
          </rPr>
          <t xml:space="preserve">    </t>
        </r>
        <r>
          <rPr>
            <u/>
            <sz val="12"/>
            <color indexed="81"/>
            <rFont val="Arial"/>
            <family val="2"/>
          </rPr>
          <t>11 PM = 23:00</t>
        </r>
        <r>
          <rPr>
            <sz val="12"/>
            <color indexed="81"/>
            <rFont val="Arial"/>
            <family val="2"/>
          </rPr>
          <t xml:space="preserve">
</t>
        </r>
      </text>
    </comment>
    <comment ref="D22" authorId="0" shapeId="0" xr:uid="{00000000-0006-0000-0400-000006000000}">
      <text>
        <r>
          <rPr>
            <sz val="12"/>
            <color rgb="FF000000"/>
            <rFont val="Calibri"/>
            <family val="2"/>
            <scheme val="minor"/>
          </rPr>
          <t xml:space="preserve">Enter the time you began “trying” to fall asleep. </t>
        </r>
      </text>
    </comment>
    <comment ref="D23" authorId="0" shapeId="0" xr:uid="{00000000-0006-0000-0400-000007000000}">
      <text>
        <r>
          <rPr>
            <sz val="12"/>
            <color rgb="FF000000"/>
            <rFont val="Calibri"/>
            <family val="2"/>
            <scheme val="minor"/>
          </rPr>
          <t>Beginning at the time you started trying to go to sleep, record how long it took you to fall asleep. This will be an estimate.</t>
        </r>
      </text>
    </comment>
    <comment ref="D24" authorId="0" shapeId="0" xr:uid="{00000000-0006-0000-0400-000008000000}">
      <text>
        <r>
          <rPr>
            <sz val="12"/>
            <color rgb="FF000000"/>
            <rFont val="Arial"/>
            <family val="34"/>
          </rPr>
          <t xml:space="preserve">Enter the number of times you woke between the time you first fell asleep and your final awakening. </t>
        </r>
      </text>
    </comment>
    <comment ref="D25" authorId="0" shapeId="0" xr:uid="{00000000-0006-0000-0400-000009000000}">
      <text>
        <r>
          <rPr>
            <sz val="12"/>
            <color rgb="FF000000"/>
            <rFont val="Arial"/>
            <family val="2"/>
          </rPr>
          <t>Enter the number of minutes you were awake during the night. This is the total time you were awake between the time you first fell asleep and your final awakening. For example, Robert woke 3 times: twice for 10 minutes and once for 30 minutes. Robert added them together to get a total of 50 minutes (10 + 10 + 30) that he was awake in the middle of the night..</t>
        </r>
      </text>
    </comment>
    <comment ref="D26" authorId="0" shapeId="0" xr:uid="{00000000-0006-0000-0400-00000A000000}">
      <text>
        <r>
          <rPr>
            <sz val="12"/>
            <color rgb="FF000000"/>
            <rFont val="Arial"/>
            <family val="2"/>
          </rPr>
          <t>Enter the time you woke up for the day. This is the last time you woke up before starting your day. For example, Robert woke up at 6:00 a.m. but did not get out of bed until 6:30 a.m. He would input "6:00" in this block.</t>
        </r>
      </text>
    </comment>
    <comment ref="D27" authorId="0" shapeId="0" xr:uid="{00000000-0006-0000-0400-00000B000000}">
      <text>
        <r>
          <rPr>
            <sz val="12"/>
            <color rgb="FF000000"/>
            <rFont val="Arial"/>
            <family val="2"/>
          </rPr>
          <t>Enter the time you got out of bed. This is the last time you woke up before starting your day with no further attempt at going back to sleep. This may be different from your final awakening time. For example, Robert woke up at 6:00 a.m. but did not get out of bed until 6:30 a.m. He would input "6:30" in this block.</t>
        </r>
      </text>
    </comment>
    <comment ref="D28" authorId="0" shapeId="0" xr:uid="{00000000-0006-0000-0400-00000C000000}">
      <text>
        <r>
          <rPr>
            <sz val="12"/>
            <color rgb="FF000000"/>
            <rFont val="Arial"/>
            <family val="2"/>
          </rPr>
          <t>This is the difference between your final awakening and when you wanted to wake up.  For example, Robert woke up at 6:00 a.m. but did not want to wake up until 6:30 a.m. He would input "30" in this block.</t>
        </r>
      </text>
    </comment>
    <comment ref="D29" authorId="0" shapeId="0" xr:uid="{00000000-0006-0000-0400-00000D000000}">
      <text>
        <r>
          <rPr>
            <sz val="12"/>
            <color rgb="FF000000"/>
            <rFont val="Arial"/>
            <family val="2"/>
          </rPr>
          <t>Select from the drop down menu to rate the quality of your sleep. "Sleep Quality" is your sense of whether your sleep was good or poor. Did you wake refreshed or not?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Summer Jones</author>
  </authors>
  <commentList>
    <comment ref="D19" authorId="0" shapeId="0" xr:uid="{00000000-0006-0000-0500-000001000000}">
      <text>
        <r>
          <rPr>
            <sz val="12"/>
            <color indexed="81"/>
            <rFont val="Arial"/>
            <family val="2"/>
          </rPr>
          <t xml:space="preserve">Enter the date of the day you woke up. You are recording the previous night’s sleep. </t>
        </r>
      </text>
    </comment>
    <comment ref="D20" authorId="0" shapeId="0" xr:uid="{00000000-0006-0000-0500-000002000000}">
      <text>
        <r>
          <rPr>
            <sz val="12"/>
            <color rgb="FF000000"/>
            <rFont val="Arial"/>
            <family val="2"/>
          </rPr>
          <t>Estimate the total amount of time you spent napping or dozing. For example if you napped twice, once for 30 minutes and once for 60 minutes, you would enter "90".</t>
        </r>
      </text>
    </comment>
    <comment ref="E20" authorId="0" shapeId="0" xr:uid="{00000000-0006-0000-0500-000003000000}">
      <text>
        <r>
          <rPr>
            <b/>
            <u/>
            <sz val="12"/>
            <color indexed="81"/>
            <rFont val="Arial"/>
            <family val="2"/>
          </rPr>
          <t xml:space="preserve">Converting Hours to Minutes
</t>
        </r>
        <r>
          <rPr>
            <u/>
            <sz val="12"/>
            <color indexed="81"/>
            <rFont val="Arial"/>
            <family val="2"/>
          </rPr>
          <t xml:space="preserve">
</t>
        </r>
        <r>
          <rPr>
            <sz val="12"/>
            <color indexed="81"/>
            <rFont val="Arial"/>
            <family val="2"/>
          </rPr>
          <t>HOURS  MINUTES</t>
        </r>
        <r>
          <rPr>
            <u/>
            <sz val="12"/>
            <color indexed="81"/>
            <rFont val="Arial"/>
            <family val="2"/>
          </rPr>
          <t xml:space="preserve">
1       =         60
2       =       120
3       =       180
4       =       240
5       =       300
6       =       360
7       =       420
8       =       480
9       =       540
10     =       600
11     =       660</t>
        </r>
      </text>
    </comment>
    <comment ref="D21" authorId="0" shapeId="0" xr:uid="{00000000-0006-0000-0500-000004000000}">
      <text>
        <r>
          <rPr>
            <sz val="12"/>
            <color rgb="FF000000"/>
            <rFont val="Calibri"/>
            <family val="2"/>
            <scheme val="minor"/>
          </rPr>
          <t>Enter the time you got into bed or your designated sleeping area.
This may not be the time that you began “trying” to fall asleep.</t>
        </r>
      </text>
    </comment>
    <comment ref="E21" authorId="0" shapeId="0" xr:uid="{00000000-0006-0000-0500-000005000000}">
      <text>
        <r>
          <rPr>
            <b/>
            <u/>
            <sz val="12"/>
            <color indexed="81"/>
            <rFont val="Arial"/>
            <family val="2"/>
          </rPr>
          <t>Converting Standard Time to Military Time</t>
        </r>
        <r>
          <rPr>
            <b/>
            <sz val="12"/>
            <color indexed="81"/>
            <rFont val="Arial"/>
            <family val="2"/>
          </rPr>
          <t xml:space="preserve">
     </t>
        </r>
        <r>
          <rPr>
            <b/>
            <u/>
            <sz val="12"/>
            <color indexed="81"/>
            <rFont val="Arial"/>
            <family val="2"/>
          </rPr>
          <t xml:space="preserve">
</t>
        </r>
        <r>
          <rPr>
            <u/>
            <sz val="12"/>
            <color indexed="81"/>
            <rFont val="Arial"/>
            <family val="2"/>
          </rPr>
          <t>12 AM = 0:00</t>
        </r>
        <r>
          <rPr>
            <sz val="12"/>
            <color indexed="81"/>
            <rFont val="Arial"/>
            <family val="2"/>
          </rPr>
          <t xml:space="preserve">    </t>
        </r>
        <r>
          <rPr>
            <u/>
            <sz val="12"/>
            <color indexed="81"/>
            <rFont val="Arial"/>
            <family val="2"/>
          </rPr>
          <t>12 PM = 12:00
1 AM = 1:00</t>
        </r>
        <r>
          <rPr>
            <sz val="12"/>
            <color indexed="81"/>
            <rFont val="Arial"/>
            <family val="2"/>
          </rPr>
          <t xml:space="preserve">    </t>
        </r>
        <r>
          <rPr>
            <u/>
            <sz val="12"/>
            <color indexed="81"/>
            <rFont val="Arial"/>
            <family val="2"/>
          </rPr>
          <t>1 PM = 13:00 
2 AM = 2:00</t>
        </r>
        <r>
          <rPr>
            <sz val="12"/>
            <color indexed="81"/>
            <rFont val="Arial"/>
            <family val="2"/>
          </rPr>
          <t xml:space="preserve">    </t>
        </r>
        <r>
          <rPr>
            <u/>
            <sz val="12"/>
            <color indexed="81"/>
            <rFont val="Arial"/>
            <family val="2"/>
          </rPr>
          <t>2 PM = 14:00
3 AM = 3:00</t>
        </r>
        <r>
          <rPr>
            <sz val="12"/>
            <color indexed="81"/>
            <rFont val="Arial"/>
            <family val="2"/>
          </rPr>
          <t xml:space="preserve">    </t>
        </r>
        <r>
          <rPr>
            <u/>
            <sz val="12"/>
            <color indexed="81"/>
            <rFont val="Arial"/>
            <family val="2"/>
          </rPr>
          <t>3 PM = 15:00
4 AM = 4:00</t>
        </r>
        <r>
          <rPr>
            <sz val="12"/>
            <color indexed="81"/>
            <rFont val="Arial"/>
            <family val="2"/>
          </rPr>
          <t xml:space="preserve">    </t>
        </r>
        <r>
          <rPr>
            <u/>
            <sz val="12"/>
            <color indexed="81"/>
            <rFont val="Arial"/>
            <family val="2"/>
          </rPr>
          <t>4 PM = 16:00
5 AM = 5:00</t>
        </r>
        <r>
          <rPr>
            <sz val="12"/>
            <color indexed="81"/>
            <rFont val="Arial"/>
            <family val="2"/>
          </rPr>
          <t xml:space="preserve">    </t>
        </r>
        <r>
          <rPr>
            <u/>
            <sz val="12"/>
            <color indexed="81"/>
            <rFont val="Arial"/>
            <family val="2"/>
          </rPr>
          <t>5 PM = 17:00
6 AM = 6:00</t>
        </r>
        <r>
          <rPr>
            <sz val="12"/>
            <color indexed="81"/>
            <rFont val="Arial"/>
            <family val="2"/>
          </rPr>
          <t xml:space="preserve">    </t>
        </r>
        <r>
          <rPr>
            <u/>
            <sz val="12"/>
            <color indexed="81"/>
            <rFont val="Arial"/>
            <family val="2"/>
          </rPr>
          <t>6 PM = 18:00
7 AM = 7:00</t>
        </r>
        <r>
          <rPr>
            <sz val="12"/>
            <color indexed="81"/>
            <rFont val="Arial"/>
            <family val="2"/>
          </rPr>
          <t xml:space="preserve">    </t>
        </r>
        <r>
          <rPr>
            <u/>
            <sz val="12"/>
            <color indexed="81"/>
            <rFont val="Arial"/>
            <family val="2"/>
          </rPr>
          <t>7 PM = 19:00
8 AM = 8:00</t>
        </r>
        <r>
          <rPr>
            <sz val="12"/>
            <color indexed="81"/>
            <rFont val="Arial"/>
            <family val="2"/>
          </rPr>
          <t xml:space="preserve">    </t>
        </r>
        <r>
          <rPr>
            <u/>
            <sz val="12"/>
            <color indexed="81"/>
            <rFont val="Arial"/>
            <family val="2"/>
          </rPr>
          <t>8 PM = 20:00
9 AM = 9:00</t>
        </r>
        <r>
          <rPr>
            <sz val="12"/>
            <color indexed="81"/>
            <rFont val="Arial"/>
            <family val="2"/>
          </rPr>
          <t xml:space="preserve">    </t>
        </r>
        <r>
          <rPr>
            <u/>
            <sz val="12"/>
            <color indexed="81"/>
            <rFont val="Arial"/>
            <family val="2"/>
          </rPr>
          <t>9 PM = 21:00
10 AM = 10:00</t>
        </r>
        <r>
          <rPr>
            <sz val="12"/>
            <color indexed="81"/>
            <rFont val="Arial"/>
            <family val="2"/>
          </rPr>
          <t xml:space="preserve">   </t>
        </r>
        <r>
          <rPr>
            <u/>
            <sz val="12"/>
            <color indexed="81"/>
            <rFont val="Arial"/>
            <family val="2"/>
          </rPr>
          <t>10 PM = 22:00
11 AM = 11:00</t>
        </r>
        <r>
          <rPr>
            <sz val="12"/>
            <color indexed="81"/>
            <rFont val="Arial"/>
            <family val="2"/>
          </rPr>
          <t xml:space="preserve">    </t>
        </r>
        <r>
          <rPr>
            <u/>
            <sz val="12"/>
            <color indexed="81"/>
            <rFont val="Arial"/>
            <family val="2"/>
          </rPr>
          <t>11 PM = 23:00</t>
        </r>
        <r>
          <rPr>
            <sz val="12"/>
            <color indexed="81"/>
            <rFont val="Arial"/>
            <family val="2"/>
          </rPr>
          <t xml:space="preserve">
</t>
        </r>
      </text>
    </comment>
    <comment ref="D22" authorId="0" shapeId="0" xr:uid="{00000000-0006-0000-0500-000006000000}">
      <text>
        <r>
          <rPr>
            <sz val="12"/>
            <color rgb="FF000000"/>
            <rFont val="Calibri"/>
            <family val="2"/>
            <scheme val="minor"/>
          </rPr>
          <t xml:space="preserve">Enter the time you began “trying” to fall asleep. </t>
        </r>
      </text>
    </comment>
    <comment ref="D23" authorId="0" shapeId="0" xr:uid="{00000000-0006-0000-0500-000007000000}">
      <text>
        <r>
          <rPr>
            <sz val="12"/>
            <color rgb="FF000000"/>
            <rFont val="Arial"/>
            <family val="34"/>
          </rPr>
          <t>Beginning at the time you started trying to go to sleep, record how long it took you to fall asleep. This will be an estimate.</t>
        </r>
      </text>
    </comment>
    <comment ref="D24" authorId="0" shapeId="0" xr:uid="{00000000-0006-0000-0500-000008000000}">
      <text>
        <r>
          <rPr>
            <sz val="12"/>
            <color rgb="FF000000"/>
            <rFont val="Arial"/>
            <family val="34"/>
          </rPr>
          <t xml:space="preserve">Enter the number of times you woke between the time you first fell asleep and your final awakening. </t>
        </r>
      </text>
    </comment>
    <comment ref="D25" authorId="0" shapeId="0" xr:uid="{00000000-0006-0000-0500-000009000000}">
      <text>
        <r>
          <rPr>
            <sz val="12"/>
            <color rgb="FF000000"/>
            <rFont val="Arial"/>
            <family val="2"/>
          </rPr>
          <t>Enter the number of minutes you were awake during the night. This is the total time you were awake between the time you first fell asleep and your final awakening. For example, Robert woke 3 times: twice for 10 minutes and once for 30 minutes. Robert added them together to get a total of 50 minutes (10 + 10 + 30) that he was awake in the middle of the night..</t>
        </r>
      </text>
    </comment>
    <comment ref="D26" authorId="0" shapeId="0" xr:uid="{00000000-0006-0000-0500-00000A000000}">
      <text>
        <r>
          <rPr>
            <sz val="12"/>
            <color rgb="FF000000"/>
            <rFont val="Arial"/>
            <family val="2"/>
          </rPr>
          <t>Enter the time you woke up for the day. This is the last time you woke up before starting your day. For example, Robert woke up at 6:00 a.m. but did not get out of bed until 6:30 a.m. He would input "6:00" in this block.</t>
        </r>
      </text>
    </comment>
    <comment ref="D27" authorId="0" shapeId="0" xr:uid="{00000000-0006-0000-0500-00000B000000}">
      <text>
        <r>
          <rPr>
            <sz val="12"/>
            <color rgb="FF000000"/>
            <rFont val="Arial"/>
            <family val="2"/>
          </rPr>
          <t>Enter the time you got out of bed. This is the last time you woke up before starting your day with no further attempt at going back to sleep. This may be different from your final awakening time. For example, Robert woke up at 6:00 a.m. but did not get out of bed until 6:30 a.m. He would input "6:30" in this block.</t>
        </r>
      </text>
    </comment>
    <comment ref="D28" authorId="0" shapeId="0" xr:uid="{00000000-0006-0000-0500-00000C000000}">
      <text>
        <r>
          <rPr>
            <sz val="12"/>
            <color rgb="FF000000"/>
            <rFont val="Arial"/>
            <family val="2"/>
          </rPr>
          <t>This is the difference between your final awakening and when you wanted to wake up.  For example, Robert woke up at 6:00 a.m. but did not want to wake up until 6:30 a.m. He would input "30" in this block.</t>
        </r>
      </text>
    </comment>
    <comment ref="D29" authorId="0" shapeId="0" xr:uid="{00000000-0006-0000-0500-00000D000000}">
      <text>
        <r>
          <rPr>
            <sz val="12"/>
            <color rgb="FF000000"/>
            <rFont val="Arial"/>
            <family val="2"/>
          </rPr>
          <t>Select from the drop down menu to rate the quality of your sleep. "Sleep Quality" is your sense of whether your sleep was good or poor. Did you wake refreshed or not?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Summer Jones</author>
  </authors>
  <commentList>
    <comment ref="D19" authorId="0" shapeId="0" xr:uid="{00000000-0006-0000-0600-000001000000}">
      <text>
        <r>
          <rPr>
            <sz val="12"/>
            <color rgb="FF000000"/>
            <rFont val="Arial"/>
            <family val="2"/>
          </rPr>
          <t xml:space="preserve">Enter the date of the day you woke up. You are recording the previous night’s sleep. </t>
        </r>
      </text>
    </comment>
    <comment ref="D20" authorId="0" shapeId="0" xr:uid="{00000000-0006-0000-0600-000002000000}">
      <text>
        <r>
          <rPr>
            <sz val="12"/>
            <color rgb="FF000000"/>
            <rFont val="Arial"/>
            <family val="2"/>
          </rPr>
          <t>Estimate the total amount of time you spent napping or dozing. For example if you napped twice, once for 30 minutes and once for 60 minutes, you would enter "90".</t>
        </r>
      </text>
    </comment>
    <comment ref="E20" authorId="0" shapeId="0" xr:uid="{00000000-0006-0000-0600-000003000000}">
      <text>
        <r>
          <rPr>
            <b/>
            <u/>
            <sz val="12"/>
            <color rgb="FF000000"/>
            <rFont val="Arial"/>
            <family val="2"/>
          </rPr>
          <t xml:space="preserve">Converting Hours to Minutes
</t>
        </r>
        <r>
          <rPr>
            <u/>
            <sz val="12"/>
            <color rgb="FF000000"/>
            <rFont val="Arial"/>
            <family val="2"/>
          </rPr>
          <t xml:space="preserve">
</t>
        </r>
        <r>
          <rPr>
            <sz val="12"/>
            <color rgb="FF000000"/>
            <rFont val="Arial"/>
            <family val="2"/>
          </rPr>
          <t>HOURS  MINUTES</t>
        </r>
        <r>
          <rPr>
            <u/>
            <sz val="12"/>
            <color rgb="FF000000"/>
            <rFont val="Arial"/>
            <family val="2"/>
          </rPr>
          <t xml:space="preserve">
</t>
        </r>
        <r>
          <rPr>
            <u/>
            <sz val="12"/>
            <color rgb="FF000000"/>
            <rFont val="Arial"/>
            <family val="2"/>
          </rPr>
          <t xml:space="preserve">1       =         60
</t>
        </r>
        <r>
          <rPr>
            <u/>
            <sz val="12"/>
            <color rgb="FF000000"/>
            <rFont val="Arial"/>
            <family val="2"/>
          </rPr>
          <t xml:space="preserve">2       =       120
</t>
        </r>
        <r>
          <rPr>
            <u/>
            <sz val="12"/>
            <color rgb="FF000000"/>
            <rFont val="Arial"/>
            <family val="2"/>
          </rPr>
          <t xml:space="preserve">3       =       180
</t>
        </r>
        <r>
          <rPr>
            <u/>
            <sz val="12"/>
            <color rgb="FF000000"/>
            <rFont val="Arial"/>
            <family val="2"/>
          </rPr>
          <t xml:space="preserve">4       =       240
</t>
        </r>
        <r>
          <rPr>
            <u/>
            <sz val="12"/>
            <color rgb="FF000000"/>
            <rFont val="Arial"/>
            <family val="2"/>
          </rPr>
          <t xml:space="preserve">5       =       300
</t>
        </r>
        <r>
          <rPr>
            <u/>
            <sz val="12"/>
            <color rgb="FF000000"/>
            <rFont val="Arial"/>
            <family val="2"/>
          </rPr>
          <t xml:space="preserve">6       =       360
</t>
        </r>
        <r>
          <rPr>
            <u/>
            <sz val="12"/>
            <color rgb="FF000000"/>
            <rFont val="Arial"/>
            <family val="2"/>
          </rPr>
          <t xml:space="preserve">7       =       420
</t>
        </r>
        <r>
          <rPr>
            <u/>
            <sz val="12"/>
            <color rgb="FF000000"/>
            <rFont val="Arial"/>
            <family val="2"/>
          </rPr>
          <t xml:space="preserve">8       =       480
</t>
        </r>
        <r>
          <rPr>
            <u/>
            <sz val="12"/>
            <color rgb="FF000000"/>
            <rFont val="Arial"/>
            <family val="2"/>
          </rPr>
          <t xml:space="preserve">9       =       540
</t>
        </r>
        <r>
          <rPr>
            <u/>
            <sz val="12"/>
            <color rgb="FF000000"/>
            <rFont val="Arial"/>
            <family val="2"/>
          </rPr>
          <t xml:space="preserve">10     =       600
</t>
        </r>
        <r>
          <rPr>
            <u/>
            <sz val="12"/>
            <color rgb="FF000000"/>
            <rFont val="Arial"/>
            <family val="2"/>
          </rPr>
          <t>11     =       660</t>
        </r>
      </text>
    </comment>
    <comment ref="D21" authorId="0" shapeId="0" xr:uid="{00000000-0006-0000-0600-000004000000}">
      <text>
        <r>
          <rPr>
            <sz val="12"/>
            <color rgb="FF000000"/>
            <rFont val="Calibri"/>
            <family val="2"/>
            <scheme val="minor"/>
          </rPr>
          <t>Enter the time you got into bed or your designated sleeping area.
This may not be the time that you began “trying” to fall asleep.</t>
        </r>
      </text>
    </comment>
    <comment ref="E21" authorId="0" shapeId="0" xr:uid="{00000000-0006-0000-0600-000005000000}">
      <text>
        <r>
          <rPr>
            <b/>
            <u/>
            <sz val="12"/>
            <color rgb="FF000000"/>
            <rFont val="Arial"/>
            <family val="2"/>
          </rPr>
          <t>Converting Standard Time to Military Time</t>
        </r>
        <r>
          <rPr>
            <b/>
            <sz val="12"/>
            <color rgb="FF000000"/>
            <rFont val="Arial"/>
            <family val="2"/>
          </rPr>
          <t xml:space="preserve">
</t>
        </r>
        <r>
          <rPr>
            <b/>
            <sz val="12"/>
            <color rgb="FF000000"/>
            <rFont val="Arial"/>
            <family val="2"/>
          </rPr>
          <t xml:space="preserve">     </t>
        </r>
        <r>
          <rPr>
            <b/>
            <u/>
            <sz val="12"/>
            <color rgb="FF000000"/>
            <rFont val="Arial"/>
            <family val="2"/>
          </rPr>
          <t xml:space="preserve">
</t>
        </r>
        <r>
          <rPr>
            <u/>
            <sz val="12"/>
            <color rgb="FF000000"/>
            <rFont val="Arial"/>
            <family val="2"/>
          </rPr>
          <t>12 AM = 0:00</t>
        </r>
        <r>
          <rPr>
            <sz val="12"/>
            <color rgb="FF000000"/>
            <rFont val="Arial"/>
            <family val="2"/>
          </rPr>
          <t xml:space="preserve">    </t>
        </r>
        <r>
          <rPr>
            <u/>
            <sz val="12"/>
            <color rgb="FF000000"/>
            <rFont val="Arial"/>
            <family val="2"/>
          </rPr>
          <t xml:space="preserve">12 PM = 12:00
</t>
        </r>
        <r>
          <rPr>
            <u/>
            <sz val="12"/>
            <color rgb="FF000000"/>
            <rFont val="Arial"/>
            <family val="2"/>
          </rPr>
          <t>1 AM = 1:00</t>
        </r>
        <r>
          <rPr>
            <sz val="12"/>
            <color rgb="FF000000"/>
            <rFont val="Arial"/>
            <family val="2"/>
          </rPr>
          <t xml:space="preserve">    </t>
        </r>
        <r>
          <rPr>
            <u/>
            <sz val="12"/>
            <color rgb="FF000000"/>
            <rFont val="Arial"/>
            <family val="2"/>
          </rPr>
          <t xml:space="preserve">1 PM = 13:00 
</t>
        </r>
        <r>
          <rPr>
            <u/>
            <sz val="12"/>
            <color rgb="FF000000"/>
            <rFont val="Arial"/>
            <family val="2"/>
          </rPr>
          <t>2 AM = 2:00</t>
        </r>
        <r>
          <rPr>
            <sz val="12"/>
            <color rgb="FF000000"/>
            <rFont val="Arial"/>
            <family val="2"/>
          </rPr>
          <t xml:space="preserve">    </t>
        </r>
        <r>
          <rPr>
            <u/>
            <sz val="12"/>
            <color rgb="FF000000"/>
            <rFont val="Arial"/>
            <family val="2"/>
          </rPr>
          <t xml:space="preserve">2 PM = 14:00
</t>
        </r>
        <r>
          <rPr>
            <u/>
            <sz val="12"/>
            <color rgb="FF000000"/>
            <rFont val="Arial"/>
            <family val="2"/>
          </rPr>
          <t>3 AM = 3:00</t>
        </r>
        <r>
          <rPr>
            <sz val="12"/>
            <color rgb="FF000000"/>
            <rFont val="Arial"/>
            <family val="2"/>
          </rPr>
          <t xml:space="preserve">    </t>
        </r>
        <r>
          <rPr>
            <u/>
            <sz val="12"/>
            <color rgb="FF000000"/>
            <rFont val="Arial"/>
            <family val="2"/>
          </rPr>
          <t xml:space="preserve">3 PM = 15:00
</t>
        </r>
        <r>
          <rPr>
            <u/>
            <sz val="12"/>
            <color rgb="FF000000"/>
            <rFont val="Arial"/>
            <family val="2"/>
          </rPr>
          <t>4 AM = 4:00</t>
        </r>
        <r>
          <rPr>
            <sz val="12"/>
            <color rgb="FF000000"/>
            <rFont val="Arial"/>
            <family val="2"/>
          </rPr>
          <t xml:space="preserve">    </t>
        </r>
        <r>
          <rPr>
            <u/>
            <sz val="12"/>
            <color rgb="FF000000"/>
            <rFont val="Arial"/>
            <family val="2"/>
          </rPr>
          <t xml:space="preserve">4 PM = 16:00
</t>
        </r>
        <r>
          <rPr>
            <u/>
            <sz val="12"/>
            <color rgb="FF000000"/>
            <rFont val="Arial"/>
            <family val="2"/>
          </rPr>
          <t>5 AM = 5:00</t>
        </r>
        <r>
          <rPr>
            <sz val="12"/>
            <color rgb="FF000000"/>
            <rFont val="Arial"/>
            <family val="2"/>
          </rPr>
          <t xml:space="preserve">    </t>
        </r>
        <r>
          <rPr>
            <u/>
            <sz val="12"/>
            <color rgb="FF000000"/>
            <rFont val="Arial"/>
            <family val="2"/>
          </rPr>
          <t xml:space="preserve">5 PM = 17:00
</t>
        </r>
        <r>
          <rPr>
            <u/>
            <sz val="12"/>
            <color rgb="FF000000"/>
            <rFont val="Arial"/>
            <family val="2"/>
          </rPr>
          <t>6 AM = 6:00</t>
        </r>
        <r>
          <rPr>
            <sz val="12"/>
            <color rgb="FF000000"/>
            <rFont val="Arial"/>
            <family val="2"/>
          </rPr>
          <t xml:space="preserve">    </t>
        </r>
        <r>
          <rPr>
            <u/>
            <sz val="12"/>
            <color rgb="FF000000"/>
            <rFont val="Arial"/>
            <family val="2"/>
          </rPr>
          <t xml:space="preserve">6 PM = 18:00
</t>
        </r>
        <r>
          <rPr>
            <u/>
            <sz val="12"/>
            <color rgb="FF000000"/>
            <rFont val="Arial"/>
            <family val="2"/>
          </rPr>
          <t>7 AM = 7:00</t>
        </r>
        <r>
          <rPr>
            <sz val="12"/>
            <color rgb="FF000000"/>
            <rFont val="Arial"/>
            <family val="2"/>
          </rPr>
          <t xml:space="preserve">    </t>
        </r>
        <r>
          <rPr>
            <u/>
            <sz val="12"/>
            <color rgb="FF000000"/>
            <rFont val="Arial"/>
            <family val="2"/>
          </rPr>
          <t xml:space="preserve">7 PM = 19:00
</t>
        </r>
        <r>
          <rPr>
            <u/>
            <sz val="12"/>
            <color rgb="FF000000"/>
            <rFont val="Arial"/>
            <family val="2"/>
          </rPr>
          <t>8 AM = 8:00</t>
        </r>
        <r>
          <rPr>
            <sz val="12"/>
            <color rgb="FF000000"/>
            <rFont val="Arial"/>
            <family val="2"/>
          </rPr>
          <t xml:space="preserve">    </t>
        </r>
        <r>
          <rPr>
            <u/>
            <sz val="12"/>
            <color rgb="FF000000"/>
            <rFont val="Arial"/>
            <family val="2"/>
          </rPr>
          <t xml:space="preserve">8 PM = 20:00
</t>
        </r>
        <r>
          <rPr>
            <u/>
            <sz val="12"/>
            <color rgb="FF000000"/>
            <rFont val="Arial"/>
            <family val="2"/>
          </rPr>
          <t>9 AM = 9:00</t>
        </r>
        <r>
          <rPr>
            <sz val="12"/>
            <color rgb="FF000000"/>
            <rFont val="Arial"/>
            <family val="2"/>
          </rPr>
          <t xml:space="preserve">    </t>
        </r>
        <r>
          <rPr>
            <u/>
            <sz val="12"/>
            <color rgb="FF000000"/>
            <rFont val="Arial"/>
            <family val="2"/>
          </rPr>
          <t xml:space="preserve">9 PM = 21:00
</t>
        </r>
        <r>
          <rPr>
            <u/>
            <sz val="12"/>
            <color rgb="FF000000"/>
            <rFont val="Arial"/>
            <family val="2"/>
          </rPr>
          <t>10 AM = 10:00</t>
        </r>
        <r>
          <rPr>
            <sz val="12"/>
            <color rgb="FF000000"/>
            <rFont val="Arial"/>
            <family val="2"/>
          </rPr>
          <t xml:space="preserve">   </t>
        </r>
        <r>
          <rPr>
            <u/>
            <sz val="12"/>
            <color rgb="FF000000"/>
            <rFont val="Arial"/>
            <family val="2"/>
          </rPr>
          <t xml:space="preserve">10 PM = 22:00
</t>
        </r>
        <r>
          <rPr>
            <u/>
            <sz val="12"/>
            <color rgb="FF000000"/>
            <rFont val="Arial"/>
            <family val="2"/>
          </rPr>
          <t>11 AM = 11:00</t>
        </r>
        <r>
          <rPr>
            <sz val="12"/>
            <color rgb="FF000000"/>
            <rFont val="Arial"/>
            <family val="2"/>
          </rPr>
          <t xml:space="preserve">    </t>
        </r>
        <r>
          <rPr>
            <u/>
            <sz val="12"/>
            <color rgb="FF000000"/>
            <rFont val="Arial"/>
            <family val="2"/>
          </rPr>
          <t>11 PM = 23:00</t>
        </r>
        <r>
          <rPr>
            <sz val="12"/>
            <color rgb="FF000000"/>
            <rFont val="Arial"/>
            <family val="2"/>
          </rPr>
          <t xml:space="preserve">
</t>
        </r>
      </text>
    </comment>
    <comment ref="D22" authorId="0" shapeId="0" xr:uid="{00000000-0006-0000-0600-000006000000}">
      <text>
        <r>
          <rPr>
            <sz val="12"/>
            <color rgb="FF000000"/>
            <rFont val="Calibri"/>
            <family val="2"/>
            <scheme val="minor"/>
          </rPr>
          <t xml:space="preserve">Enter the time you began “trying” to fall asleep. </t>
        </r>
      </text>
    </comment>
    <comment ref="D23" authorId="0" shapeId="0" xr:uid="{00000000-0006-0000-0600-000007000000}">
      <text>
        <r>
          <rPr>
            <sz val="12"/>
            <color rgb="FF000000"/>
            <rFont val="Arial"/>
            <family val="34"/>
          </rPr>
          <t>Beginning at the time you started trying to go to sleep, record how long it took you to fall asleep. This will be an estimate.</t>
        </r>
      </text>
    </comment>
    <comment ref="D24" authorId="0" shapeId="0" xr:uid="{00000000-0006-0000-0600-000008000000}">
      <text>
        <r>
          <rPr>
            <sz val="12"/>
            <color rgb="FF000000"/>
            <rFont val="Arial"/>
            <family val="34"/>
          </rPr>
          <t xml:space="preserve">Enter the number of times you woke between the time you first fell asleep and your final awakening. </t>
        </r>
      </text>
    </comment>
    <comment ref="D25" authorId="0" shapeId="0" xr:uid="{00000000-0006-0000-0600-000009000000}">
      <text>
        <r>
          <rPr>
            <sz val="12"/>
            <color rgb="FF000000"/>
            <rFont val="Arial"/>
            <family val="2"/>
          </rPr>
          <t>Enter the number of minutes you were awake during the night. This is the total time you were awake between the time you first fell asleep and your final awakening. For example, Robert woke 3 times: twice for 10 minutes and once for 30 minutes. Robert added them together to get a total of 50 minutes (10 + 10 + 30) that he was awake in the middle of the night..</t>
        </r>
      </text>
    </comment>
    <comment ref="D26" authorId="0" shapeId="0" xr:uid="{00000000-0006-0000-0600-00000A000000}">
      <text>
        <r>
          <rPr>
            <sz val="12"/>
            <color rgb="FF000000"/>
            <rFont val="Arial"/>
            <family val="2"/>
          </rPr>
          <t>Enter the time you woke up for the day. This is the last time you woke up before starting your day. For example, Robert woke up at 6:00 a.m. but did not get out of bed until 6:30 a.m. He would input "6:00" in this block.</t>
        </r>
      </text>
    </comment>
    <comment ref="D27" authorId="0" shapeId="0" xr:uid="{00000000-0006-0000-0600-00000B000000}">
      <text>
        <r>
          <rPr>
            <sz val="12"/>
            <color rgb="FF000000"/>
            <rFont val="Arial"/>
            <family val="2"/>
          </rPr>
          <t>Enter the time you got out of bed. This is the last time you woke up before starting your day with no further attempt at going back to sleep. This may be different from your final awakening time. For example, Robert woke up at 6:00 a.m. but did not get out of bed until 6:30 a.m. He would input "6:30" in this block.</t>
        </r>
      </text>
    </comment>
    <comment ref="D28" authorId="0" shapeId="0" xr:uid="{00000000-0006-0000-0600-00000C000000}">
      <text>
        <r>
          <rPr>
            <sz val="12"/>
            <color rgb="FF000000"/>
            <rFont val="Arial"/>
            <family val="2"/>
          </rPr>
          <t>This is the difference between your final awakening and when you wanted to wake up.  For example, Robert woke up at 6:00 a.m. but did not want to wake up until 6:30 a.m. He would input "30" in this block.</t>
        </r>
      </text>
    </comment>
    <comment ref="D29" authorId="0" shapeId="0" xr:uid="{00000000-0006-0000-0600-00000D000000}">
      <text>
        <r>
          <rPr>
            <sz val="12"/>
            <color rgb="FF000000"/>
            <rFont val="Arial"/>
            <family val="2"/>
          </rPr>
          <t>Select from the drop down menu to rate the quality of your sleep. "Sleep Quality" is your sense of whether your sleep was good or poor. Did you wake refreshed or not?</t>
        </r>
      </text>
    </comment>
  </commentList>
</comments>
</file>

<file path=xl/sharedStrings.xml><?xml version="1.0" encoding="utf-8"?>
<sst xmlns="http://schemas.openxmlformats.org/spreadsheetml/2006/main" count="660" uniqueCount="170">
  <si>
    <t>Date</t>
  </si>
  <si>
    <t>What time did you get into bed yesterday?</t>
  </si>
  <si>
    <t>What time did you try to go to sleep?</t>
  </si>
  <si>
    <t>How many times did you wake up during the night?</t>
  </si>
  <si>
    <t>In total, how long did these awakening last (in minutes)?</t>
  </si>
  <si>
    <t>What time was your final awakening?</t>
  </si>
  <si>
    <t>When did you get out of bed to start your day?</t>
  </si>
  <si>
    <t>1.</t>
  </si>
  <si>
    <t>2.</t>
  </si>
  <si>
    <t>3.</t>
  </si>
  <si>
    <t>4.</t>
  </si>
  <si>
    <t>5.</t>
  </si>
  <si>
    <t>6.</t>
  </si>
  <si>
    <t>7.</t>
  </si>
  <si>
    <t>8.</t>
  </si>
  <si>
    <t>9.</t>
  </si>
  <si>
    <t>How long did it actually take you to fall asleep (in minutes)?</t>
  </si>
  <si>
    <t>Day 1</t>
  </si>
  <si>
    <t>Day 2</t>
  </si>
  <si>
    <t>Day 3</t>
  </si>
  <si>
    <t>Day 4</t>
  </si>
  <si>
    <t>Day 5</t>
  </si>
  <si>
    <t>Day 6</t>
  </si>
  <si>
    <t>Day 7</t>
  </si>
  <si>
    <t>Sleep Diary Entry for Week 1</t>
  </si>
  <si>
    <t>How long did you nap or doze yesterday (in minutes)?</t>
  </si>
  <si>
    <t>10.</t>
  </si>
  <si>
    <t>Time in Bed</t>
  </si>
  <si>
    <t>Total Sleep Time</t>
  </si>
  <si>
    <t>Sleep Efficiency</t>
  </si>
  <si>
    <t>12 PM = 1200</t>
  </si>
  <si>
    <t xml:space="preserve">1 AM = 0100 </t>
  </si>
  <si>
    <t>1 PM = 1300</t>
  </si>
  <si>
    <t xml:space="preserve">2 AM = 0200 </t>
  </si>
  <si>
    <t>2 PM = 1400</t>
  </si>
  <si>
    <t xml:space="preserve">3 AM = 0300 </t>
  </si>
  <si>
    <t>3 PM = 1500</t>
  </si>
  <si>
    <t xml:space="preserve">4 AM = 0400 </t>
  </si>
  <si>
    <t>4 PM = 1600</t>
  </si>
  <si>
    <t xml:space="preserve">5 AM = 0500 </t>
  </si>
  <si>
    <t>5 PM = 1700</t>
  </si>
  <si>
    <t xml:space="preserve">6 AM = 0600 </t>
  </si>
  <si>
    <t>6 PM = 1800</t>
  </si>
  <si>
    <t xml:space="preserve">7 AM = 0700 </t>
  </si>
  <si>
    <t>7 PM = 1900</t>
  </si>
  <si>
    <t xml:space="preserve">8 AM = 0800 </t>
  </si>
  <si>
    <t>8 PM = 2000</t>
  </si>
  <si>
    <t xml:space="preserve">9 AM = 0900 </t>
  </si>
  <si>
    <t>9 PM = 2100</t>
  </si>
  <si>
    <t xml:space="preserve">10 AM = 1000 </t>
  </si>
  <si>
    <t>10 PM = 2200</t>
  </si>
  <si>
    <t xml:space="preserve">11 AM = 1100 </t>
  </si>
  <si>
    <t>11 PM = 2300</t>
  </si>
  <si>
    <t xml:space="preserve">12 AM = 0000 </t>
  </si>
  <si>
    <t>Sleep Diary Entry for Week 4</t>
  </si>
  <si>
    <t>Sleep Diary Entry for Week 5</t>
  </si>
  <si>
    <t>Sleep Diary Entry for Week 6</t>
  </si>
  <si>
    <t>Week 1</t>
  </si>
  <si>
    <t>Sample</t>
  </si>
  <si>
    <t xml:space="preserve">WEEKLY AVERAGES									</t>
  </si>
  <si>
    <t>Average time did you got into bed.</t>
  </si>
  <si>
    <t>Average time you tried to go to sleep.</t>
  </si>
  <si>
    <t>Average time it actually took you to fall asleep.</t>
  </si>
  <si>
    <t>Average time of your final awakening.</t>
  </si>
  <si>
    <t>Average time you got out of bed to start your day.</t>
  </si>
  <si>
    <t>Average time napping.</t>
  </si>
  <si>
    <t>avg</t>
  </si>
  <si>
    <t>5-days</t>
  </si>
  <si>
    <t>6-days</t>
  </si>
  <si>
    <t>7-days</t>
  </si>
  <si>
    <t>Goal</t>
  </si>
  <si>
    <t>Week 2</t>
  </si>
  <si>
    <t>Average time sleeping</t>
  </si>
  <si>
    <t>Average sleep efficiency</t>
  </si>
  <si>
    <t>Sleep Diary Entry for Week 2</t>
  </si>
  <si>
    <t>Week 3</t>
  </si>
  <si>
    <t>(1) Did you feel tired or fatigued during the day or evening?</t>
  </si>
  <si>
    <t>(2) Were you sleepy or drowsy during the day or evening?</t>
  </si>
  <si>
    <t>(3) Did you take any naps or fall asleep briefly during the day or evening?</t>
  </si>
  <si>
    <t>(4) Do you feel you have been getting an adequate amount of sleep?</t>
  </si>
  <si>
    <t>Never</t>
  </si>
  <si>
    <t xml:space="preserve">Rarely </t>
  </si>
  <si>
    <t xml:space="preserve">Sometimes </t>
  </si>
  <si>
    <t xml:space="preserve">Frequently </t>
  </si>
  <si>
    <t>Always</t>
  </si>
  <si>
    <t>Adjust your Sleep Prescription*</t>
  </si>
  <si>
    <t>Calculate your Sleep Prescription*</t>
  </si>
  <si>
    <t>Your Earliest Bedtime (in military time hh:mm)</t>
  </si>
  <si>
    <t>Maximum Time Allowed in Bed (in Hours and Minutes h:mm).</t>
  </si>
  <si>
    <t>Week 3 Adjustment</t>
  </si>
  <si>
    <t>&lt;&lt;total</t>
  </si>
  <si>
    <t>&lt;&lt;average SE</t>
  </si>
  <si>
    <t>Your new Earliest Bedtime (in military time hh:mm):</t>
  </si>
  <si>
    <t>time -</t>
  </si>
  <si>
    <t>text -</t>
  </si>
  <si>
    <t>Your new Maximum Time Allowed in Bed (in Hours and Minutes h:mm):</t>
  </si>
  <si>
    <t>Calculate new time</t>
  </si>
  <si>
    <t>New_MATIB</t>
  </si>
  <si>
    <t>New_BT</t>
  </si>
  <si>
    <t>Increase Time in Bed by 30 minutes</t>
  </si>
  <si>
    <t>Increase Time in Bed by 15 minutes</t>
  </si>
  <si>
    <t> Do not change your Time in Bed</t>
  </si>
  <si>
    <t> Decrease Time in Bed by 15 minutes</t>
  </si>
  <si>
    <t>Test Data</t>
  </si>
  <si>
    <t>11.</t>
  </si>
  <si>
    <t>How would you rate the quality of your sleep?</t>
  </si>
  <si>
    <t>Rate you sleep</t>
  </si>
  <si>
    <t>Poor</t>
  </si>
  <si>
    <t>Very Poor</t>
  </si>
  <si>
    <t>Fair</t>
  </si>
  <si>
    <t>Good</t>
  </si>
  <si>
    <t>Very Good</t>
  </si>
  <si>
    <t>Adjustment items</t>
  </si>
  <si>
    <t>Time in Bed (in Hours and Minutes h:mm)</t>
  </si>
  <si>
    <t>Total Sleep Time (in Hours and Minutes h:mm)</t>
  </si>
  <si>
    <t>Week2_MATIB</t>
  </si>
  <si>
    <t>Week2_BT</t>
  </si>
  <si>
    <t>Week3_MATIB</t>
  </si>
  <si>
    <t>Week3_BT</t>
  </si>
  <si>
    <t>Sleep Prescription</t>
  </si>
  <si>
    <t>Wake Up Time&gt;</t>
  </si>
  <si>
    <t>TST&gt;</t>
  </si>
  <si>
    <t>EBT&gt;</t>
  </si>
  <si>
    <t>adjust&gt;</t>
  </si>
  <si>
    <t>Sleep Diary Entry for Week 3</t>
  </si>
  <si>
    <t>Week 4</t>
  </si>
  <si>
    <t>adjust2&gt;</t>
  </si>
  <si>
    <t>adjust for 330</t>
  </si>
  <si>
    <t>Week 4 Adjustment</t>
  </si>
  <si>
    <t>Week 5</t>
  </si>
  <si>
    <t>Week 6</t>
  </si>
  <si>
    <t>Week 5 Adjustment</t>
  </si>
  <si>
    <t>Week4_MATIB</t>
  </si>
  <si>
    <t>Week4_BT</t>
  </si>
  <si>
    <t>Week 6 Adjustment</t>
  </si>
  <si>
    <t>Tips for using the Spreadsheet Sleep Diary</t>
  </si>
  <si>
    <t>How to use the Spreadsheet Sleep Diary</t>
  </si>
  <si>
    <t>How long did you wakeup earlier than desired (in minutes)?</t>
  </si>
  <si>
    <t>Sleep Diary Instructions</t>
  </si>
  <si>
    <t>Calculated Results</t>
  </si>
  <si>
    <t xml:space="preserve">Calculated Results			</t>
  </si>
  <si>
    <t>This Sleep Diary will help you track your sleep, allowing you to see habits and trends that are helping you sleep or that can be improved. This diary is designed for someone with experience using spreadsheets. If you are not comfortable using spreadsheets, you should use another Sleep Diary.</t>
  </si>
  <si>
    <t>Weeks 3 - 6</t>
  </si>
  <si>
    <t xml:space="preserve">*NOTE: This calculator will not work until you have at least 5 sleep diary entries in the previous week </t>
  </si>
  <si>
    <t xml:space="preserve">Calculated Results	</t>
  </si>
  <si>
    <t xml:space="preserve">Calculated Results		</t>
  </si>
  <si>
    <t>How much earlier did you wakeup than desired (in minutes)?</t>
  </si>
  <si>
    <t>Frequently Asked Questions</t>
  </si>
  <si>
    <t>Why are the calculated times are displayed as ###### ?</t>
  </si>
  <si>
    <r>
      <t xml:space="preserve">WEEKLY AVERAGES  </t>
    </r>
    <r>
      <rPr>
        <b/>
        <sz val="12"/>
        <color theme="0"/>
        <rFont val="Arial"/>
        <family val="2"/>
      </rPr>
      <t>(Will not populate until you have at least 5 sleep diary entries)</t>
    </r>
  </si>
  <si>
    <r>
      <t xml:space="preserve">WEEKLY AVERAGES  </t>
    </r>
    <r>
      <rPr>
        <b/>
        <sz val="12"/>
        <color theme="0"/>
        <rFont val="Arial"/>
        <family val="2"/>
      </rPr>
      <t xml:space="preserve">(Will not populate until you have at least 5 sleep diary entries)		</t>
    </r>
  </si>
  <si>
    <r>
      <t xml:space="preserve">WEEKLY AVERAGES  </t>
    </r>
    <r>
      <rPr>
        <b/>
        <sz val="12"/>
        <color theme="0"/>
        <rFont val="Arial"/>
        <family val="2"/>
      </rPr>
      <t>(Will not populate until you have at least 5 sleep diary entries)</t>
    </r>
    <r>
      <rPr>
        <b/>
        <sz val="14"/>
        <color theme="0"/>
        <rFont val="Arial"/>
        <family val="2"/>
      </rPr>
      <t xml:space="preserve">	</t>
    </r>
    <r>
      <rPr>
        <b/>
        <sz val="16"/>
        <color theme="0"/>
        <rFont val="Arial"/>
        <family val="2"/>
      </rPr>
      <t xml:space="preserve">	</t>
    </r>
  </si>
  <si>
    <r>
      <t xml:space="preserve">WEEKLY AVERAGES  </t>
    </r>
    <r>
      <rPr>
        <b/>
        <sz val="12"/>
        <color theme="0"/>
        <rFont val="Arial"/>
        <family val="2"/>
      </rPr>
      <t>(Will not populate until you have at least 5 sleep diary entries)</t>
    </r>
    <r>
      <rPr>
        <b/>
        <sz val="16"/>
        <color theme="0"/>
        <rFont val="Arial"/>
        <family val="2"/>
      </rPr>
      <t xml:space="preserve">		</t>
    </r>
  </si>
  <si>
    <r>
      <t xml:space="preserve">WEEKLY AVERAGES  </t>
    </r>
    <r>
      <rPr>
        <b/>
        <sz val="12"/>
        <color theme="0"/>
        <rFont val="Arial"/>
        <family val="2"/>
      </rPr>
      <t xml:space="preserve">(Will not populate until you have at least 5 sleep diary entries)	</t>
    </r>
    <r>
      <rPr>
        <b/>
        <sz val="16"/>
        <color theme="0"/>
        <rFont val="Arial"/>
        <family val="2"/>
      </rPr>
      <t xml:space="preserve">	</t>
    </r>
  </si>
  <si>
    <t xml:space="preserve">1. Enter your Wake Time for the week (in military time h:mm). </t>
  </si>
  <si>
    <r>
      <t xml:space="preserve">2. </t>
    </r>
    <r>
      <rPr>
        <sz val="16"/>
        <color theme="0"/>
        <rFont val="Arial"/>
        <family val="2"/>
      </rPr>
      <t>Your Sleep Prescription will be calculated for you:</t>
    </r>
  </si>
  <si>
    <t>Your Sleep Prescription adjustment will be calculated for you:</t>
  </si>
  <si>
    <t>Your average Sleep Efficiency from week 2:</t>
  </si>
  <si>
    <t>Your average Sleep Efficiency from week 3:</t>
  </si>
  <si>
    <t>Your average Sleep Efficiency from week 4:</t>
  </si>
  <si>
    <t>Your Sleep Prescription adjustment:</t>
  </si>
  <si>
    <t>Your average Sleep Efficiency from week 1:</t>
  </si>
  <si>
    <t>Your average Sleep Efficiency from week 5:</t>
  </si>
  <si>
    <t>Answer the following questions:</t>
  </si>
  <si>
    <t>Average time napping</t>
  </si>
  <si>
    <t>Average time you got into bed</t>
  </si>
  <si>
    <t>Average time you tried to go to sleep</t>
  </si>
  <si>
    <t>Average time it actually took you to fall asleep</t>
  </si>
  <si>
    <t>Average time of your final awakening</t>
  </si>
  <si>
    <t>Average time you got out of bed to start your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</si>
</sst>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mm;@"/>
    <numFmt numFmtId="165" formatCode="[$-409]h:mm\ AM/PM;@"/>
    <numFmt numFmtId="166" formatCode="m/d/yy;@"/>
    <numFmt numFmtId="167" formatCode="[$-F400]h:mm:ss\ AM/PM"/>
  </numFmts>
  <fonts count="36" x14ac:knownFonts="1">
    <font>
      <sz val="12"/>
      <color theme="1"/>
      <name val="Calibri"/>
      <family val="2"/>
      <scheme val="minor"/>
    </font>
    <font>
      <sz val="10"/>
      <color theme="1"/>
      <name val="Helvetica"/>
      <family val="2"/>
    </font>
    <font>
      <b/>
      <sz val="14"/>
      <color theme="0"/>
      <name val="Arial"/>
      <family val="2"/>
    </font>
    <font>
      <sz val="14"/>
      <color theme="0"/>
      <name val="Arial"/>
      <family val="2"/>
    </font>
    <font>
      <sz val="12"/>
      <color theme="1"/>
      <name val="Calibri"/>
      <family val="2"/>
      <scheme val="minor"/>
    </font>
    <font>
      <b/>
      <sz val="10"/>
      <color theme="1"/>
      <name val="Arial"/>
      <family val="2"/>
    </font>
    <font>
      <b/>
      <sz val="16"/>
      <color theme="0"/>
      <name val="Arial"/>
      <family val="2"/>
    </font>
    <font>
      <sz val="16"/>
      <color theme="0"/>
      <name val="Arial"/>
      <family val="2"/>
    </font>
    <font>
      <b/>
      <sz val="14"/>
      <color theme="1" tint="0.249977111117893"/>
      <name val="Arial"/>
      <family val="2"/>
    </font>
    <font>
      <sz val="10"/>
      <color theme="0"/>
      <name val="Arial"/>
      <family val="2"/>
    </font>
    <font>
      <b/>
      <sz val="16"/>
      <color theme="0"/>
      <name val="Calibri"/>
      <family val="2"/>
      <scheme val="minor"/>
    </font>
    <font>
      <sz val="12"/>
      <color theme="0"/>
      <name val="Calibri"/>
      <family val="2"/>
      <scheme val="minor"/>
    </font>
    <font>
      <sz val="16"/>
      <color theme="0"/>
      <name val="Calibri"/>
      <family val="2"/>
      <scheme val="minor"/>
    </font>
    <font>
      <b/>
      <sz val="20"/>
      <color theme="0"/>
      <name val="Calibri"/>
      <family val="2"/>
      <scheme val="minor"/>
    </font>
    <font>
      <b/>
      <sz val="48"/>
      <color theme="0"/>
      <name val="Calibri"/>
      <family val="2"/>
      <scheme val="minor"/>
    </font>
    <font>
      <sz val="18"/>
      <color theme="0"/>
      <name val="Calibri"/>
      <family val="2"/>
      <scheme val="minor"/>
    </font>
    <font>
      <b/>
      <sz val="12"/>
      <color theme="0"/>
      <name val="Arial"/>
      <family val="2"/>
    </font>
    <font>
      <sz val="12"/>
      <color indexed="81"/>
      <name val="Arial"/>
      <family val="2"/>
    </font>
    <font>
      <b/>
      <u/>
      <sz val="12"/>
      <color indexed="81"/>
      <name val="Arial"/>
      <family val="2"/>
    </font>
    <font>
      <b/>
      <sz val="12"/>
      <color indexed="81"/>
      <name val="Arial"/>
      <family val="2"/>
    </font>
    <font>
      <u/>
      <sz val="12"/>
      <color indexed="81"/>
      <name val="Arial"/>
      <family val="2"/>
    </font>
    <font>
      <b/>
      <sz val="18"/>
      <color theme="0"/>
      <name val="Arial"/>
      <family val="2"/>
    </font>
    <font>
      <b/>
      <sz val="14"/>
      <color theme="0"/>
      <name val="Calibri"/>
      <family val="2"/>
      <scheme val="minor"/>
    </font>
    <font>
      <b/>
      <sz val="36"/>
      <color theme="0"/>
      <name val="Calibri"/>
      <family val="2"/>
      <scheme val="minor"/>
    </font>
    <font>
      <sz val="14"/>
      <color theme="0"/>
      <name val="Calibri"/>
      <family val="2"/>
      <scheme val="minor"/>
    </font>
    <font>
      <b/>
      <sz val="12"/>
      <color theme="0"/>
      <name val="Calibri"/>
      <family val="2"/>
      <scheme val="minor"/>
    </font>
    <font>
      <u/>
      <sz val="12"/>
      <color theme="10"/>
      <name val="Calibri"/>
      <family val="2"/>
      <scheme val="minor"/>
    </font>
    <font>
      <u/>
      <sz val="12"/>
      <color theme="0"/>
      <name val="Calibri"/>
      <family val="2"/>
      <scheme val="minor"/>
    </font>
    <font>
      <sz val="12"/>
      <color rgb="FF000000"/>
      <name val="Arial"/>
      <family val="2"/>
    </font>
    <font>
      <b/>
      <u/>
      <sz val="12"/>
      <color rgb="FF000000"/>
      <name val="Arial"/>
      <family val="2"/>
    </font>
    <font>
      <b/>
      <sz val="12"/>
      <color rgb="FF000000"/>
      <name val="Arial"/>
      <family val="2"/>
    </font>
    <font>
      <u/>
      <sz val="12"/>
      <color rgb="FF000000"/>
      <name val="Arial"/>
      <family val="2"/>
    </font>
    <font>
      <b/>
      <u/>
      <sz val="12"/>
      <color theme="0"/>
      <name val="Calibri"/>
      <family val="2"/>
      <scheme val="minor"/>
    </font>
    <font>
      <sz val="12"/>
      <color rgb="FF000000"/>
      <name val="Arial"/>
      <family val="34"/>
    </font>
    <font>
      <sz val="12"/>
      <color rgb="FF000000"/>
      <name val="Calibri"/>
      <family val="2"/>
      <scheme val="minor"/>
    </font>
    <font>
      <sz val="12"/>
      <color rgb="FF000000"/>
      <name val="Calibri"/>
      <family val="2"/>
    </font>
  </fonts>
  <fills count="13">
    <fill>
      <patternFill patternType="none"/>
    </fill>
    <fill>
      <patternFill patternType="gray125"/>
    </fill>
    <fill>
      <patternFill patternType="solid">
        <fgColor theme="1" tint="0.24994659260841701"/>
        <bgColor indexed="64"/>
      </patternFill>
    </fill>
    <fill>
      <patternFill patternType="solid">
        <fgColor theme="1" tint="0.24994659260841701"/>
        <bgColor rgb="FF000000"/>
      </patternFill>
    </fill>
    <fill>
      <patternFill patternType="solid">
        <fgColor theme="1" tint="0.249977111117893"/>
        <bgColor indexed="64"/>
      </patternFill>
    </fill>
    <fill>
      <patternFill patternType="solid">
        <fgColor theme="1" tint="0.249977111117893"/>
        <bgColor rgb="FF000000"/>
      </patternFill>
    </fill>
    <fill>
      <patternFill patternType="solid">
        <fgColor theme="1" tint="0.34998626667073579"/>
        <bgColor rgb="FF000000"/>
      </patternFill>
    </fill>
    <fill>
      <patternFill patternType="solid">
        <fgColor theme="1" tint="0.34998626667073579"/>
        <bgColor indexed="64"/>
      </patternFill>
    </fill>
    <fill>
      <gradientFill degree="90">
        <stop position="0">
          <color rgb="FF35356D"/>
        </stop>
        <stop position="1">
          <color rgb="FF3450AA"/>
        </stop>
      </gradientFill>
    </fill>
    <fill>
      <patternFill patternType="solid">
        <fgColor rgb="FF1D2337"/>
        <bgColor indexed="64"/>
      </patternFill>
    </fill>
    <fill>
      <gradientFill degree="90">
        <stop position="0">
          <color rgb="FF35356D"/>
        </stop>
        <stop position="1">
          <color rgb="FF305496"/>
        </stop>
      </gradientFill>
    </fill>
    <fill>
      <gradientFill degree="90">
        <stop position="0">
          <color rgb="FF35356D"/>
        </stop>
        <stop position="1">
          <color theme="4"/>
        </stop>
      </gradientFill>
    </fill>
    <fill>
      <gradientFill degree="90">
        <stop position="0">
          <color rgb="FF2C396E"/>
        </stop>
        <stop position="1">
          <color theme="4"/>
        </stop>
      </gradientFill>
    </fill>
  </fills>
  <borders count="60">
    <border>
      <left/>
      <right/>
      <top/>
      <bottom/>
      <diagonal/>
    </border>
    <border>
      <left style="medium">
        <color auto="1"/>
      </left>
      <right/>
      <top/>
      <bottom/>
      <diagonal/>
    </border>
    <border>
      <left style="thin">
        <color theme="1" tint="0.499984740745262"/>
      </left>
      <right style="thin">
        <color theme="1" tint="0.499984740745262"/>
      </right>
      <top/>
      <bottom/>
      <diagonal/>
    </border>
    <border>
      <left style="thin">
        <color theme="1" tint="0.499984740745262"/>
      </left>
      <right style="medium">
        <color indexed="64"/>
      </right>
      <top/>
      <bottom/>
      <diagonal/>
    </border>
    <border>
      <left/>
      <right/>
      <top/>
      <bottom style="medium">
        <color indexed="64"/>
      </bottom>
      <diagonal/>
    </border>
    <border>
      <left/>
      <right/>
      <top style="thick">
        <color theme="7" tint="0.59999389629810485"/>
      </top>
      <bottom/>
      <diagonal/>
    </border>
    <border>
      <left style="thick">
        <color indexed="64"/>
      </left>
      <right/>
      <top style="medium">
        <color indexed="64"/>
      </top>
      <bottom/>
      <diagonal/>
    </border>
    <border>
      <left style="thick">
        <color auto="1"/>
      </left>
      <right/>
      <top style="thick">
        <color auto="1"/>
      </top>
      <bottom style="thick">
        <color theme="7" tint="0.59996337778862885"/>
      </bottom>
      <diagonal/>
    </border>
    <border>
      <left/>
      <right/>
      <top style="thick">
        <color auto="1"/>
      </top>
      <bottom style="thick">
        <color theme="7" tint="0.59996337778862885"/>
      </bottom>
      <diagonal/>
    </border>
    <border>
      <left/>
      <right style="thick">
        <color auto="1"/>
      </right>
      <top style="thick">
        <color auto="1"/>
      </top>
      <bottom style="thick">
        <color theme="7" tint="0.59996337778862885"/>
      </bottom>
      <diagonal/>
    </border>
    <border>
      <left/>
      <right/>
      <top style="thick">
        <color theme="1"/>
      </top>
      <bottom style="thick">
        <color theme="7" tint="0.59996337778862885"/>
      </bottom>
      <diagonal/>
    </border>
    <border>
      <left/>
      <right/>
      <top style="thick">
        <color auto="1"/>
      </top>
      <bottom/>
      <diagonal/>
    </border>
    <border>
      <left/>
      <right style="thick">
        <color auto="1"/>
      </right>
      <top/>
      <bottom/>
      <diagonal/>
    </border>
    <border>
      <left/>
      <right/>
      <top/>
      <bottom style="thick">
        <color auto="1"/>
      </bottom>
      <diagonal/>
    </border>
    <border>
      <left/>
      <right style="thin">
        <color rgb="FF272A45"/>
      </right>
      <top style="thick">
        <color auto="1"/>
      </top>
      <bottom style="thick">
        <color theme="7" tint="0.59999389629810485"/>
      </bottom>
      <diagonal/>
    </border>
    <border>
      <left style="thin">
        <color rgb="FF272A45"/>
      </left>
      <right style="thin">
        <color rgb="FF272A45"/>
      </right>
      <top style="thick">
        <color auto="1"/>
      </top>
      <bottom style="thick">
        <color theme="7" tint="0.59999389629810485"/>
      </bottom>
      <diagonal/>
    </border>
    <border>
      <left style="thin">
        <color rgb="FF272A45"/>
      </left>
      <right style="thick">
        <color auto="1"/>
      </right>
      <top style="thick">
        <color auto="1"/>
      </top>
      <bottom style="thick">
        <color theme="7" tint="0.59999389629810485"/>
      </bottom>
      <diagonal/>
    </border>
    <border>
      <left/>
      <right style="thin">
        <color rgb="FF272A45"/>
      </right>
      <top style="thick">
        <color auto="1"/>
      </top>
      <bottom style="thick">
        <color theme="7" tint="0.59996337778862885"/>
      </bottom>
      <diagonal/>
    </border>
    <border>
      <left/>
      <right/>
      <top style="thick">
        <color indexed="64"/>
      </top>
      <bottom style="thick">
        <color theme="7" tint="0.59999389629810485"/>
      </bottom>
      <diagonal/>
    </border>
    <border>
      <left style="thick">
        <color indexed="64"/>
      </left>
      <right/>
      <top/>
      <bottom/>
      <diagonal/>
    </border>
    <border>
      <left style="thick">
        <color indexed="64"/>
      </left>
      <right/>
      <top style="thick">
        <color theme="7" tint="0.59999389629810485"/>
      </top>
      <bottom/>
      <diagonal/>
    </border>
    <border>
      <left style="thick">
        <color auto="1"/>
      </left>
      <right/>
      <top style="thick">
        <color indexed="64"/>
      </top>
      <bottom style="thick">
        <color theme="7" tint="0.59999389629810485"/>
      </bottom>
      <diagonal/>
    </border>
    <border>
      <left/>
      <right style="thick">
        <color auto="1"/>
      </right>
      <top style="thick">
        <color indexed="64"/>
      </top>
      <bottom style="thick">
        <color theme="7" tint="0.59999389629810485"/>
      </bottom>
      <diagonal/>
    </border>
    <border>
      <left style="thick">
        <color auto="1"/>
      </left>
      <right/>
      <top/>
      <bottom style="thick">
        <color auto="1"/>
      </bottom>
      <diagonal/>
    </border>
    <border>
      <left style="thin">
        <color theme="1" tint="0.499984740745262"/>
      </left>
      <right style="thick">
        <color auto="1"/>
      </right>
      <top/>
      <bottom/>
      <diagonal/>
    </border>
    <border>
      <left style="thick">
        <color auto="1"/>
      </left>
      <right/>
      <top style="thick">
        <color theme="1"/>
      </top>
      <bottom style="thick">
        <color theme="7" tint="0.59996337778862885"/>
      </bottom>
      <diagonal/>
    </border>
    <border>
      <left/>
      <right style="thick">
        <color auto="1"/>
      </right>
      <top style="thick">
        <color theme="1"/>
      </top>
      <bottom style="thick">
        <color theme="7" tint="0.59996337778862885"/>
      </bottom>
      <diagonal/>
    </border>
    <border>
      <left style="thin">
        <color theme="1"/>
      </left>
      <right style="thin">
        <color theme="1"/>
      </right>
      <top style="thick">
        <color theme="7" tint="0.59999389629810485"/>
      </top>
      <bottom/>
      <diagonal/>
    </border>
    <border>
      <left style="thin">
        <color theme="1"/>
      </left>
      <right style="thick">
        <color auto="1"/>
      </right>
      <top style="thick">
        <color theme="7" tint="0.59999389629810485"/>
      </top>
      <bottom/>
      <diagonal/>
    </border>
    <border>
      <left style="thin">
        <color theme="1"/>
      </left>
      <right style="thin">
        <color theme="1"/>
      </right>
      <top/>
      <bottom/>
      <diagonal/>
    </border>
    <border>
      <left style="thin">
        <color theme="1"/>
      </left>
      <right style="thick">
        <color auto="1"/>
      </right>
      <top/>
      <bottom/>
      <diagonal/>
    </border>
    <border>
      <left style="thin">
        <color theme="1"/>
      </left>
      <right style="thin">
        <color theme="1"/>
      </right>
      <top/>
      <bottom style="thick">
        <color auto="1"/>
      </bottom>
      <diagonal/>
    </border>
    <border>
      <left style="thin">
        <color theme="1"/>
      </left>
      <right style="thick">
        <color auto="1"/>
      </right>
      <top/>
      <bottom style="thick">
        <color auto="1"/>
      </bottom>
      <diagonal/>
    </border>
    <border>
      <left/>
      <right style="thin">
        <color theme="1"/>
      </right>
      <top style="thick">
        <color theme="7" tint="0.59996337778862885"/>
      </top>
      <bottom/>
      <diagonal/>
    </border>
    <border>
      <left/>
      <right style="thin">
        <color theme="1"/>
      </right>
      <top style="thick">
        <color theme="7" tint="0.59999389629810485"/>
      </top>
      <bottom/>
      <diagonal/>
    </border>
    <border>
      <left/>
      <right style="thin">
        <color theme="1"/>
      </right>
      <top/>
      <bottom/>
      <diagonal/>
    </border>
    <border>
      <left/>
      <right style="thin">
        <color theme="1"/>
      </right>
      <top/>
      <bottom style="thick">
        <color auto="1"/>
      </bottom>
      <diagonal/>
    </border>
    <border>
      <left style="thin">
        <color theme="1"/>
      </left>
      <right style="thin">
        <color theme="1"/>
      </right>
      <top style="thick">
        <color theme="7" tint="0.59996337778862885"/>
      </top>
      <bottom/>
      <diagonal/>
    </border>
    <border>
      <left style="thin">
        <color theme="1"/>
      </left>
      <right style="thick">
        <color auto="1"/>
      </right>
      <top style="thick">
        <color theme="7" tint="0.59996337778862885"/>
      </top>
      <bottom/>
      <diagonal/>
    </border>
    <border>
      <left style="thick">
        <color auto="1"/>
      </left>
      <right/>
      <top/>
      <bottom style="medium">
        <color auto="1"/>
      </bottom>
      <diagonal/>
    </border>
    <border>
      <left/>
      <right style="thick">
        <color auto="1"/>
      </right>
      <top/>
      <bottom style="medium">
        <color indexed="64"/>
      </bottom>
      <diagonal/>
    </border>
    <border>
      <left style="thick">
        <color indexed="64"/>
      </left>
      <right/>
      <top style="thick">
        <color theme="7" tint="0.59996337778862885"/>
      </top>
      <bottom/>
      <diagonal/>
    </border>
    <border>
      <left/>
      <right style="mediumDashed">
        <color theme="2" tint="-0.24994659260841701"/>
      </right>
      <top style="thick">
        <color theme="7" tint="0.59996337778862885"/>
      </top>
      <bottom/>
      <diagonal/>
    </border>
    <border>
      <left/>
      <right style="mediumDashed">
        <color theme="2" tint="-0.24994659260841701"/>
      </right>
      <top/>
      <bottom/>
      <diagonal/>
    </border>
    <border>
      <left style="mediumDashed">
        <color theme="2" tint="-0.24994659260841701"/>
      </left>
      <right style="thick">
        <color auto="1"/>
      </right>
      <top style="thick">
        <color theme="7" tint="0.59996337778862885"/>
      </top>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right/>
      <top/>
      <bottom style="thick">
        <color theme="7" tint="0.59996337778862885"/>
      </bottom>
      <diagonal/>
    </border>
    <border>
      <left/>
      <right style="mediumDashed">
        <color theme="2" tint="-0.499984740745262"/>
      </right>
      <top style="thick">
        <color theme="7" tint="0.59996337778862885"/>
      </top>
      <bottom/>
      <diagonal/>
    </border>
    <border>
      <left/>
      <right style="mediumDashed">
        <color theme="2" tint="-0.499984740745262"/>
      </right>
      <top/>
      <bottom/>
      <diagonal/>
    </border>
    <border>
      <left/>
      <right style="mediumDashed">
        <color theme="2" tint="-0.499984740745262"/>
      </right>
      <top/>
      <bottom style="medium">
        <color indexed="64"/>
      </bottom>
      <diagonal/>
    </border>
    <border>
      <left/>
      <right style="mediumDashed">
        <color theme="2" tint="-0.499984740745262"/>
      </right>
      <top style="medium">
        <color auto="1"/>
      </top>
      <bottom/>
      <diagonal/>
    </border>
    <border>
      <left style="thick">
        <color indexed="64"/>
      </left>
      <right/>
      <top/>
      <bottom style="thin">
        <color auto="1"/>
      </bottom>
      <diagonal/>
    </border>
    <border>
      <left/>
      <right style="mediumDashed">
        <color theme="2" tint="-0.499984740745262"/>
      </right>
      <top/>
      <bottom style="thin">
        <color auto="1"/>
      </bottom>
      <diagonal/>
    </border>
    <border>
      <left style="mediumDashed">
        <color theme="2" tint="-0.499984740745262"/>
      </left>
      <right style="thick">
        <color auto="1"/>
      </right>
      <top style="thick">
        <color theme="7" tint="0.59999389629810485"/>
      </top>
      <bottom/>
      <diagonal/>
    </border>
    <border>
      <left style="mediumDashed">
        <color theme="2" tint="-0.499984740745262"/>
      </left>
      <right style="thick">
        <color auto="1"/>
      </right>
      <top/>
      <bottom/>
      <diagonal/>
    </border>
    <border>
      <left style="mediumDashed">
        <color theme="2" tint="-0.499984740745262"/>
      </left>
      <right style="thick">
        <color auto="1"/>
      </right>
      <top/>
      <bottom style="thick">
        <color auto="1"/>
      </bottom>
      <diagonal/>
    </border>
    <border>
      <left/>
      <right style="thick">
        <color auto="1"/>
      </right>
      <top/>
      <bottom style="thin">
        <color indexed="64"/>
      </bottom>
      <diagonal/>
    </border>
    <border>
      <left/>
      <right/>
      <top/>
      <bottom style="thin">
        <color indexed="64"/>
      </bottom>
      <diagonal/>
    </border>
  </borders>
  <cellStyleXfs count="3">
    <xf numFmtId="0" fontId="0" fillId="0" borderId="0"/>
    <xf numFmtId="9" fontId="4" fillId="0" borderId="0" applyFont="0" applyFill="0" applyBorder="0" applyAlignment="0" applyProtection="0"/>
    <xf numFmtId="0" fontId="26" fillId="0" borderId="0" applyNumberFormat="0" applyFill="0" applyBorder="0" applyAlignment="0" applyProtection="0"/>
  </cellStyleXfs>
  <cellXfs count="239">
    <xf numFmtId="0" fontId="0" fillId="0" borderId="0" xfId="0"/>
    <xf numFmtId="0" fontId="1" fillId="0" borderId="0" xfId="0" applyFont="1" applyAlignment="1">
      <alignment horizontal="left"/>
    </xf>
    <xf numFmtId="0" fontId="0" fillId="0" borderId="0" xfId="0" applyAlignment="1">
      <alignment horizontal="left"/>
    </xf>
    <xf numFmtId="0" fontId="0" fillId="2" borderId="0" xfId="0" applyFill="1"/>
    <xf numFmtId="0" fontId="0" fillId="2" borderId="0" xfId="0" applyFill="1" applyBorder="1"/>
    <xf numFmtId="0" fontId="0" fillId="4" borderId="0" xfId="0" applyFill="1"/>
    <xf numFmtId="14" fontId="3" fillId="5" borderId="0" xfId="0" applyNumberFormat="1" applyFont="1" applyFill="1" applyBorder="1" applyProtection="1">
      <protection locked="0"/>
    </xf>
    <xf numFmtId="164" fontId="3" fillId="5" borderId="0" xfId="0" applyNumberFormat="1" applyFont="1" applyFill="1" applyBorder="1" applyProtection="1">
      <protection locked="0"/>
    </xf>
    <xf numFmtId="2" fontId="3" fillId="5" borderId="0" xfId="0" applyNumberFormat="1" applyFont="1" applyFill="1" applyBorder="1" applyProtection="1">
      <protection locked="0"/>
    </xf>
    <xf numFmtId="0" fontId="2" fillId="4" borderId="0" xfId="0" applyFont="1" applyFill="1" applyAlignment="1"/>
    <xf numFmtId="14" fontId="0" fillId="0" borderId="0" xfId="0" applyNumberFormat="1"/>
    <xf numFmtId="165" fontId="0" fillId="0" borderId="0" xfId="0" applyNumberFormat="1"/>
    <xf numFmtId="0" fontId="0" fillId="0" borderId="0" xfId="0" applyAlignment="1">
      <alignment horizontal="right"/>
    </xf>
    <xf numFmtId="0" fontId="5" fillId="0" borderId="0" xfId="0" applyFont="1" applyFill="1" applyBorder="1" applyAlignment="1">
      <alignment horizontal="center"/>
    </xf>
    <xf numFmtId="2" fontId="5" fillId="0" borderId="0" xfId="0" applyNumberFormat="1" applyFont="1" applyFill="1" applyBorder="1" applyAlignment="1" applyProtection="1">
      <alignment horizontal="left"/>
    </xf>
    <xf numFmtId="0" fontId="5" fillId="0" borderId="0" xfId="0" applyFont="1" applyFill="1" applyBorder="1" applyAlignment="1">
      <alignment horizontal="right"/>
    </xf>
    <xf numFmtId="10" fontId="5" fillId="0" borderId="0" xfId="0" applyNumberFormat="1" applyFont="1" applyFill="1" applyBorder="1"/>
    <xf numFmtId="164" fontId="3" fillId="5" borderId="0" xfId="0" applyNumberFormat="1" applyFont="1" applyFill="1" applyBorder="1" applyAlignment="1" applyProtection="1">
      <alignment horizontal="right"/>
      <protection locked="0"/>
    </xf>
    <xf numFmtId="2" fontId="3" fillId="5" borderId="0" xfId="0" applyNumberFormat="1" applyFont="1" applyFill="1" applyBorder="1" applyAlignment="1" applyProtection="1">
      <alignment horizontal="right"/>
      <protection locked="0"/>
    </xf>
    <xf numFmtId="14" fontId="7" fillId="3" borderId="1" xfId="0" applyNumberFormat="1" applyFont="1" applyFill="1" applyBorder="1" applyAlignment="1" applyProtection="1">
      <alignment horizontal="right"/>
      <protection locked="0"/>
    </xf>
    <xf numFmtId="14" fontId="7" fillId="3" borderId="0" xfId="0" applyNumberFormat="1" applyFont="1" applyFill="1" applyBorder="1" applyProtection="1">
      <protection locked="0"/>
    </xf>
    <xf numFmtId="164" fontId="7" fillId="3" borderId="1" xfId="0" applyNumberFormat="1" applyFont="1" applyFill="1" applyBorder="1" applyAlignment="1" applyProtection="1">
      <alignment horizontal="right"/>
      <protection locked="0"/>
    </xf>
    <xf numFmtId="164" fontId="7" fillId="3" borderId="0" xfId="0" applyNumberFormat="1" applyFont="1" applyFill="1" applyBorder="1" applyProtection="1">
      <protection locked="0"/>
    </xf>
    <xf numFmtId="164" fontId="7" fillId="3" borderId="2" xfId="0" applyNumberFormat="1" applyFont="1" applyFill="1" applyBorder="1" applyProtection="1">
      <protection locked="0"/>
    </xf>
    <xf numFmtId="164" fontId="7" fillId="3" borderId="3" xfId="0" applyNumberFormat="1" applyFont="1" applyFill="1" applyBorder="1" applyProtection="1">
      <protection locked="0"/>
    </xf>
    <xf numFmtId="2" fontId="7" fillId="3" borderId="1" xfId="0" applyNumberFormat="1" applyFont="1" applyFill="1" applyBorder="1" applyAlignment="1" applyProtection="1">
      <alignment horizontal="right"/>
      <protection locked="0"/>
    </xf>
    <xf numFmtId="2" fontId="7" fillId="3" borderId="0" xfId="0" applyNumberFormat="1" applyFont="1" applyFill="1" applyBorder="1" applyProtection="1">
      <protection locked="0"/>
    </xf>
    <xf numFmtId="1" fontId="7" fillId="3" borderId="2" xfId="0" applyNumberFormat="1" applyFont="1" applyFill="1" applyBorder="1" applyProtection="1">
      <protection locked="0"/>
    </xf>
    <xf numFmtId="1" fontId="7" fillId="3" borderId="3" xfId="0" applyNumberFormat="1" applyFont="1" applyFill="1" applyBorder="1" applyProtection="1">
      <protection locked="0"/>
    </xf>
    <xf numFmtId="164" fontId="7" fillId="6" borderId="1" xfId="0" applyNumberFormat="1" applyFont="1" applyFill="1" applyBorder="1" applyAlignment="1" applyProtection="1">
      <alignment horizontal="right"/>
      <protection locked="0"/>
    </xf>
    <xf numFmtId="164" fontId="7" fillId="6" borderId="0" xfId="0" applyNumberFormat="1" applyFont="1" applyFill="1" applyBorder="1" applyProtection="1">
      <protection locked="0"/>
    </xf>
    <xf numFmtId="1" fontId="7" fillId="6" borderId="2" xfId="0" applyNumberFormat="1" applyFont="1" applyFill="1" applyBorder="1" applyProtection="1">
      <protection locked="0"/>
    </xf>
    <xf numFmtId="1" fontId="7" fillId="6" borderId="3" xfId="0" applyNumberFormat="1" applyFont="1" applyFill="1" applyBorder="1" applyProtection="1">
      <protection locked="0"/>
    </xf>
    <xf numFmtId="164" fontId="7" fillId="6" borderId="2" xfId="0" applyNumberFormat="1" applyFont="1" applyFill="1" applyBorder="1" applyProtection="1">
      <protection locked="0"/>
    </xf>
    <xf numFmtId="164" fontId="7" fillId="6" borderId="3" xfId="0" applyNumberFormat="1" applyFont="1" applyFill="1" applyBorder="1" applyProtection="1">
      <protection locked="0"/>
    </xf>
    <xf numFmtId="2" fontId="7" fillId="6" borderId="1" xfId="0" applyNumberFormat="1" applyFont="1" applyFill="1" applyBorder="1" applyAlignment="1" applyProtection="1">
      <alignment horizontal="right"/>
      <protection locked="0"/>
    </xf>
    <xf numFmtId="2" fontId="7" fillId="6" borderId="0" xfId="0" applyNumberFormat="1" applyFont="1" applyFill="1" applyBorder="1" applyProtection="1">
      <protection locked="0"/>
    </xf>
    <xf numFmtId="2" fontId="7" fillId="6" borderId="2" xfId="0" applyNumberFormat="1" applyFont="1" applyFill="1" applyBorder="1" applyProtection="1">
      <protection locked="0"/>
    </xf>
    <xf numFmtId="20" fontId="5" fillId="0" borderId="0" xfId="0" applyNumberFormat="1" applyFont="1" applyFill="1" applyBorder="1"/>
    <xf numFmtId="1" fontId="7" fillId="5" borderId="2" xfId="0" applyNumberFormat="1" applyFont="1" applyFill="1" applyBorder="1" applyProtection="1">
      <protection locked="0"/>
    </xf>
    <xf numFmtId="1" fontId="7" fillId="5" borderId="3" xfId="0" applyNumberFormat="1" applyFont="1" applyFill="1" applyBorder="1" applyProtection="1">
      <protection locked="0"/>
    </xf>
    <xf numFmtId="10" fontId="0" fillId="0" borderId="0" xfId="1" applyNumberFormat="1" applyFont="1"/>
    <xf numFmtId="20" fontId="0" fillId="0" borderId="0" xfId="1" applyNumberFormat="1" applyFont="1"/>
    <xf numFmtId="164" fontId="0" fillId="0" borderId="0" xfId="0" applyNumberFormat="1"/>
    <xf numFmtId="1" fontId="0" fillId="0" borderId="0" xfId="0" applyNumberFormat="1"/>
    <xf numFmtId="2" fontId="0" fillId="0" borderId="0" xfId="0" applyNumberFormat="1"/>
    <xf numFmtId="2" fontId="2" fillId="4" borderId="0" xfId="0" applyNumberFormat="1" applyFont="1" applyFill="1" applyBorder="1" applyAlignment="1" applyProtection="1">
      <protection locked="0"/>
    </xf>
    <xf numFmtId="9" fontId="8" fillId="4" borderId="0" xfId="1" applyFont="1" applyFill="1" applyBorder="1" applyAlignment="1" applyProtection="1">
      <protection locked="0"/>
    </xf>
    <xf numFmtId="9" fontId="0" fillId="0" borderId="0" xfId="1" applyNumberFormat="1" applyFont="1"/>
    <xf numFmtId="20" fontId="0" fillId="0" borderId="0" xfId="0" applyNumberFormat="1"/>
    <xf numFmtId="9" fontId="0" fillId="0" borderId="0" xfId="1" applyFont="1"/>
    <xf numFmtId="164" fontId="7" fillId="6" borderId="0" xfId="0" applyNumberFormat="1" applyFont="1" applyFill="1" applyBorder="1" applyAlignment="1" applyProtection="1">
      <alignment vertical="center"/>
      <protection locked="0"/>
    </xf>
    <xf numFmtId="0" fontId="1" fillId="0" borderId="0" xfId="0" applyFont="1"/>
    <xf numFmtId="164" fontId="7" fillId="5" borderId="0" xfId="0" applyNumberFormat="1" applyFont="1" applyFill="1" applyBorder="1" applyProtection="1">
      <protection locked="0"/>
    </xf>
    <xf numFmtId="49" fontId="7" fillId="6" borderId="1" xfId="0" applyNumberFormat="1" applyFont="1" applyFill="1" applyBorder="1" applyAlignment="1" applyProtection="1">
      <alignment horizontal="right"/>
      <protection locked="0"/>
    </xf>
    <xf numFmtId="49" fontId="7" fillId="5" borderId="1" xfId="0" applyNumberFormat="1" applyFont="1" applyFill="1" applyBorder="1" applyAlignment="1" applyProtection="1">
      <alignment horizontal="right"/>
      <protection locked="0"/>
    </xf>
    <xf numFmtId="1" fontId="7" fillId="5" borderId="2" xfId="0" applyNumberFormat="1" applyFont="1" applyFill="1" applyBorder="1" applyAlignment="1" applyProtection="1">
      <alignment horizontal="right"/>
      <protection locked="0"/>
    </xf>
    <xf numFmtId="1" fontId="7" fillId="5" borderId="3" xfId="0" applyNumberFormat="1" applyFont="1" applyFill="1" applyBorder="1" applyAlignment="1" applyProtection="1">
      <alignment horizontal="right"/>
      <protection locked="0"/>
    </xf>
    <xf numFmtId="166" fontId="7" fillId="3" borderId="2" xfId="0" applyNumberFormat="1" applyFont="1" applyFill="1" applyBorder="1" applyProtection="1">
      <protection locked="0"/>
    </xf>
    <xf numFmtId="166" fontId="7" fillId="3" borderId="3" xfId="0" applyNumberFormat="1" applyFont="1" applyFill="1" applyBorder="1" applyProtection="1">
      <protection locked="0"/>
    </xf>
    <xf numFmtId="0" fontId="0" fillId="0" borderId="0" xfId="0" applyNumberFormat="1"/>
    <xf numFmtId="167" fontId="0" fillId="0" borderId="0" xfId="0" applyNumberFormat="1"/>
    <xf numFmtId="0" fontId="11" fillId="4" borderId="0" xfId="0" applyFont="1" applyFill="1"/>
    <xf numFmtId="0" fontId="12" fillId="4" borderId="0" xfId="0" applyFont="1" applyFill="1"/>
    <xf numFmtId="0" fontId="15" fillId="9" borderId="0" xfId="0" applyFont="1" applyFill="1" applyBorder="1" applyAlignment="1">
      <alignment vertical="center" wrapText="1"/>
    </xf>
    <xf numFmtId="0" fontId="15" fillId="9" borderId="0" xfId="0" applyFont="1" applyFill="1" applyAlignment="1">
      <alignment vertical="center" wrapText="1"/>
    </xf>
    <xf numFmtId="0" fontId="11" fillId="9" borderId="0" xfId="0" applyFont="1" applyFill="1"/>
    <xf numFmtId="0" fontId="13" fillId="9" borderId="0" xfId="0" applyFont="1" applyFill="1" applyBorder="1" applyAlignment="1">
      <alignment vertical="center"/>
    </xf>
    <xf numFmtId="0" fontId="13" fillId="9" borderId="0" xfId="0" applyFont="1" applyFill="1" applyAlignment="1">
      <alignment vertical="center"/>
    </xf>
    <xf numFmtId="0" fontId="12" fillId="9" borderId="0" xfId="0" applyFont="1" applyFill="1" applyAlignment="1">
      <alignment horizontal="left" vertical="center"/>
    </xf>
    <xf numFmtId="0" fontId="12" fillId="9" borderId="0" xfId="0" applyFont="1" applyFill="1" applyAlignment="1"/>
    <xf numFmtId="0" fontId="14" fillId="9" borderId="0" xfId="0" applyFont="1" applyFill="1" applyBorder="1" applyAlignment="1">
      <alignment horizontal="left" vertical="center" indent="20"/>
    </xf>
    <xf numFmtId="0" fontId="12" fillId="9" borderId="0" xfId="0" applyFont="1" applyFill="1" applyAlignment="1">
      <alignment horizontal="left" vertical="center" indent="2"/>
    </xf>
    <xf numFmtId="0" fontId="0" fillId="9" borderId="0" xfId="0" applyFill="1"/>
    <xf numFmtId="0" fontId="6" fillId="9" borderId="0" xfId="0" applyFont="1" applyFill="1" applyBorder="1" applyAlignment="1"/>
    <xf numFmtId="0" fontId="0" fillId="9" borderId="0" xfId="0" applyFill="1" applyBorder="1"/>
    <xf numFmtId="2" fontId="6" fillId="10" borderId="11" xfId="0" applyNumberFormat="1" applyFont="1" applyFill="1" applyBorder="1" applyAlignment="1" applyProtection="1">
      <alignment horizontal="center" vertical="center"/>
      <protection locked="0"/>
    </xf>
    <xf numFmtId="0" fontId="6" fillId="10" borderId="14" xfId="0" applyFont="1" applyFill="1" applyBorder="1" applyAlignment="1">
      <alignment horizontal="center" vertical="center"/>
    </xf>
    <xf numFmtId="2" fontId="6" fillId="10" borderId="15" xfId="0" applyNumberFormat="1" applyFont="1" applyFill="1" applyBorder="1" applyAlignment="1" applyProtection="1">
      <alignment horizontal="center" vertical="center"/>
      <protection locked="0"/>
    </xf>
    <xf numFmtId="2" fontId="6" fillId="10" borderId="16" xfId="0" applyNumberFormat="1" applyFont="1" applyFill="1" applyBorder="1" applyAlignment="1" applyProtection="1">
      <alignment horizontal="center" vertical="center"/>
      <protection locked="0"/>
    </xf>
    <xf numFmtId="0" fontId="0" fillId="9" borderId="12" xfId="0" applyFill="1" applyBorder="1"/>
    <xf numFmtId="164" fontId="7" fillId="3" borderId="19" xfId="0" applyNumberFormat="1" applyFont="1" applyFill="1" applyBorder="1" applyAlignment="1" applyProtection="1">
      <alignment horizontal="right"/>
      <protection locked="0"/>
    </xf>
    <xf numFmtId="164" fontId="7" fillId="6" borderId="20" xfId="0" applyNumberFormat="1" applyFont="1" applyFill="1" applyBorder="1" applyAlignment="1" applyProtection="1">
      <alignment horizontal="right"/>
      <protection locked="0"/>
    </xf>
    <xf numFmtId="2" fontId="7" fillId="3" borderId="19" xfId="0" applyNumberFormat="1" applyFont="1" applyFill="1" applyBorder="1" applyAlignment="1" applyProtection="1">
      <alignment horizontal="right"/>
      <protection locked="0"/>
    </xf>
    <xf numFmtId="2" fontId="7" fillId="5" borderId="19" xfId="0" applyNumberFormat="1" applyFont="1" applyFill="1" applyBorder="1" applyAlignment="1" applyProtection="1">
      <alignment horizontal="right"/>
      <protection locked="0"/>
    </xf>
    <xf numFmtId="2" fontId="7" fillId="6" borderId="19" xfId="0" applyNumberFormat="1" applyFont="1" applyFill="1" applyBorder="1" applyAlignment="1" applyProtection="1">
      <alignment horizontal="right"/>
      <protection locked="0"/>
    </xf>
    <xf numFmtId="164" fontId="7" fillId="6" borderId="19" xfId="0" applyNumberFormat="1" applyFont="1" applyFill="1" applyBorder="1" applyAlignment="1" applyProtection="1">
      <alignment horizontal="right"/>
      <protection locked="0"/>
    </xf>
    <xf numFmtId="164" fontId="7" fillId="3" borderId="23" xfId="0" applyNumberFormat="1" applyFont="1" applyFill="1" applyBorder="1" applyAlignment="1" applyProtection="1">
      <alignment horizontal="right"/>
      <protection locked="0"/>
    </xf>
    <xf numFmtId="14" fontId="7" fillId="3" borderId="19" xfId="0" applyNumberFormat="1" applyFont="1" applyFill="1" applyBorder="1" applyAlignment="1" applyProtection="1">
      <alignment horizontal="right" vertical="center"/>
      <protection locked="0"/>
    </xf>
    <xf numFmtId="164" fontId="7" fillId="6" borderId="19" xfId="0" applyNumberFormat="1" applyFont="1" applyFill="1" applyBorder="1" applyAlignment="1" applyProtection="1">
      <alignment horizontal="right" vertical="center"/>
      <protection locked="0"/>
    </xf>
    <xf numFmtId="164" fontId="7" fillId="3" borderId="19" xfId="0" applyNumberFormat="1" applyFont="1" applyFill="1" applyBorder="1" applyAlignment="1" applyProtection="1">
      <alignment horizontal="right" vertical="center"/>
      <protection locked="0"/>
    </xf>
    <xf numFmtId="2" fontId="7" fillId="3" borderId="19" xfId="0" applyNumberFormat="1" applyFont="1" applyFill="1" applyBorder="1" applyAlignment="1" applyProtection="1">
      <alignment horizontal="right" vertical="center"/>
      <protection locked="0"/>
    </xf>
    <xf numFmtId="2" fontId="7" fillId="6" borderId="19" xfId="0" applyNumberFormat="1" applyFont="1" applyFill="1" applyBorder="1" applyAlignment="1" applyProtection="1">
      <alignment horizontal="right" vertical="center"/>
      <protection locked="0"/>
    </xf>
    <xf numFmtId="49" fontId="7" fillId="6" borderId="19" xfId="0" applyNumberFormat="1" applyFont="1" applyFill="1" applyBorder="1" applyAlignment="1" applyProtection="1">
      <alignment horizontal="right" vertical="center"/>
      <protection locked="0"/>
    </xf>
    <xf numFmtId="49" fontId="7" fillId="5" borderId="19" xfId="0" applyNumberFormat="1" applyFont="1" applyFill="1" applyBorder="1" applyAlignment="1" applyProtection="1">
      <alignment horizontal="right" vertical="center"/>
      <protection locked="0"/>
    </xf>
    <xf numFmtId="2" fontId="7" fillId="6" borderId="24" xfId="0" applyNumberFormat="1" applyFont="1" applyFill="1" applyBorder="1" applyProtection="1">
      <protection locked="0"/>
    </xf>
    <xf numFmtId="166" fontId="7" fillId="3" borderId="27" xfId="0" applyNumberFormat="1" applyFont="1" applyFill="1" applyBorder="1" applyAlignment="1" applyProtection="1">
      <alignment horizontal="center" vertical="center"/>
      <protection locked="0"/>
    </xf>
    <xf numFmtId="166" fontId="7" fillId="3" borderId="28" xfId="0" applyNumberFormat="1" applyFont="1" applyFill="1" applyBorder="1" applyAlignment="1" applyProtection="1">
      <alignment horizontal="center" vertical="center"/>
      <protection locked="0"/>
    </xf>
    <xf numFmtId="1" fontId="7" fillId="6" borderId="29" xfId="0" applyNumberFormat="1" applyFont="1" applyFill="1" applyBorder="1" applyAlignment="1" applyProtection="1">
      <alignment horizontal="center" vertical="center"/>
      <protection locked="0"/>
    </xf>
    <xf numFmtId="1" fontId="7" fillId="6" borderId="30" xfId="0" applyNumberFormat="1" applyFont="1" applyFill="1" applyBorder="1" applyAlignment="1" applyProtection="1">
      <alignment horizontal="center" vertical="center"/>
      <protection locked="0"/>
    </xf>
    <xf numFmtId="164" fontId="7" fillId="3" borderId="29" xfId="0" applyNumberFormat="1" applyFont="1" applyFill="1" applyBorder="1" applyAlignment="1" applyProtection="1">
      <alignment horizontal="center" vertical="center"/>
      <protection locked="0"/>
    </xf>
    <xf numFmtId="164" fontId="7" fillId="3" borderId="30" xfId="0" applyNumberFormat="1" applyFont="1" applyFill="1" applyBorder="1" applyAlignment="1" applyProtection="1">
      <alignment horizontal="center" vertical="center"/>
      <protection locked="0"/>
    </xf>
    <xf numFmtId="164" fontId="7" fillId="6" borderId="29" xfId="0" applyNumberFormat="1" applyFont="1" applyFill="1" applyBorder="1" applyAlignment="1" applyProtection="1">
      <alignment horizontal="center" vertical="center"/>
      <protection locked="0"/>
    </xf>
    <xf numFmtId="164" fontId="7" fillId="6" borderId="30" xfId="0" applyNumberFormat="1" applyFont="1" applyFill="1" applyBorder="1" applyAlignment="1" applyProtection="1">
      <alignment horizontal="center" vertical="center"/>
      <protection locked="0"/>
    </xf>
    <xf numFmtId="1" fontId="7" fillId="3" borderId="29" xfId="0" applyNumberFormat="1" applyFont="1" applyFill="1" applyBorder="1" applyAlignment="1" applyProtection="1">
      <alignment horizontal="center" vertical="center"/>
      <protection locked="0"/>
    </xf>
    <xf numFmtId="1" fontId="7" fillId="3" borderId="30" xfId="0" applyNumberFormat="1" applyFont="1" applyFill="1" applyBorder="1" applyAlignment="1" applyProtection="1">
      <alignment horizontal="center" vertical="center"/>
      <protection locked="0"/>
    </xf>
    <xf numFmtId="1" fontId="7" fillId="5" borderId="29" xfId="0" applyNumberFormat="1" applyFont="1" applyFill="1" applyBorder="1" applyAlignment="1" applyProtection="1">
      <alignment horizontal="center" vertical="center"/>
      <protection locked="0"/>
    </xf>
    <xf numFmtId="1" fontId="7" fillId="5" borderId="30" xfId="0" applyNumberFormat="1" applyFont="1" applyFill="1" applyBorder="1" applyAlignment="1" applyProtection="1">
      <alignment horizontal="center" vertical="center"/>
      <protection locked="0"/>
    </xf>
    <xf numFmtId="1" fontId="7" fillId="5" borderId="31" xfId="0" applyNumberFormat="1" applyFont="1" applyFill="1" applyBorder="1" applyAlignment="1" applyProtection="1">
      <alignment horizontal="center" vertical="center"/>
      <protection locked="0"/>
    </xf>
    <xf numFmtId="1" fontId="7" fillId="5" borderId="32" xfId="0" applyNumberFormat="1" applyFont="1" applyFill="1" applyBorder="1" applyAlignment="1" applyProtection="1">
      <alignment horizontal="center" vertical="center"/>
      <protection locked="0"/>
    </xf>
    <xf numFmtId="166" fontId="7" fillId="3" borderId="34" xfId="0" applyNumberFormat="1" applyFont="1" applyFill="1" applyBorder="1" applyAlignment="1" applyProtection="1">
      <alignment horizontal="center" vertical="center"/>
      <protection locked="0"/>
    </xf>
    <xf numFmtId="1" fontId="7" fillId="6" borderId="35" xfId="0" applyNumberFormat="1" applyFont="1" applyFill="1" applyBorder="1" applyAlignment="1" applyProtection="1">
      <alignment horizontal="center" vertical="center"/>
      <protection locked="0"/>
    </xf>
    <xf numFmtId="164" fontId="7" fillId="3" borderId="35" xfId="0" applyNumberFormat="1" applyFont="1" applyFill="1" applyBorder="1" applyAlignment="1" applyProtection="1">
      <alignment horizontal="center" vertical="center"/>
      <protection locked="0"/>
    </xf>
    <xf numFmtId="164" fontId="7" fillId="6" borderId="35" xfId="0" applyNumberFormat="1" applyFont="1" applyFill="1" applyBorder="1" applyAlignment="1" applyProtection="1">
      <alignment horizontal="center" vertical="center"/>
      <protection locked="0"/>
    </xf>
    <xf numFmtId="1" fontId="7" fillId="3" borderId="35" xfId="0" applyNumberFormat="1" applyFont="1" applyFill="1" applyBorder="1" applyAlignment="1" applyProtection="1">
      <alignment horizontal="center" vertical="center"/>
      <protection locked="0"/>
    </xf>
    <xf numFmtId="1" fontId="7" fillId="5" borderId="36" xfId="0" applyNumberFormat="1" applyFont="1" applyFill="1" applyBorder="1" applyAlignment="1" applyProtection="1">
      <alignment horizontal="center" vertical="center"/>
      <protection locked="0"/>
    </xf>
    <xf numFmtId="14" fontId="7" fillId="3" borderId="33" xfId="0" applyNumberFormat="1" applyFont="1" applyFill="1" applyBorder="1" applyAlignment="1" applyProtection="1">
      <alignment vertical="center"/>
      <protection locked="0"/>
    </xf>
    <xf numFmtId="164" fontId="7" fillId="6" borderId="35" xfId="0" applyNumberFormat="1" applyFont="1" applyFill="1" applyBorder="1" applyAlignment="1" applyProtection="1">
      <alignment vertical="center"/>
      <protection locked="0"/>
    </xf>
    <xf numFmtId="164" fontId="7" fillId="3" borderId="35" xfId="0" applyNumberFormat="1" applyFont="1" applyFill="1" applyBorder="1" applyAlignment="1" applyProtection="1">
      <alignment vertical="center"/>
      <protection locked="0"/>
    </xf>
    <xf numFmtId="2" fontId="7" fillId="3" borderId="35" xfId="0" applyNumberFormat="1" applyFont="1" applyFill="1" applyBorder="1" applyAlignment="1" applyProtection="1">
      <alignment vertical="center"/>
      <protection locked="0"/>
    </xf>
    <xf numFmtId="2" fontId="7" fillId="6" borderId="35" xfId="0" applyNumberFormat="1" applyFont="1" applyFill="1" applyBorder="1" applyAlignment="1" applyProtection="1">
      <alignment vertical="center"/>
      <protection locked="0"/>
    </xf>
    <xf numFmtId="164" fontId="7" fillId="5" borderId="35" xfId="0" applyNumberFormat="1" applyFont="1" applyFill="1" applyBorder="1" applyAlignment="1" applyProtection="1">
      <alignment vertical="center"/>
      <protection locked="0"/>
    </xf>
    <xf numFmtId="164" fontId="7" fillId="6" borderId="19" xfId="0" applyNumberFormat="1" applyFont="1" applyFill="1" applyBorder="1" applyAlignment="1" applyProtection="1">
      <alignment horizontal="right"/>
    </xf>
    <xf numFmtId="2" fontId="7" fillId="3" borderId="19" xfId="0" applyNumberFormat="1" applyFont="1" applyFill="1" applyBorder="1" applyAlignment="1" applyProtection="1">
      <alignment horizontal="right"/>
    </xf>
    <xf numFmtId="2" fontId="7" fillId="6" borderId="23" xfId="0" applyNumberFormat="1" applyFont="1" applyFill="1" applyBorder="1" applyAlignment="1" applyProtection="1">
      <alignment horizontal="right"/>
    </xf>
    <xf numFmtId="0" fontId="7" fillId="4" borderId="12" xfId="0" applyFont="1" applyFill="1" applyBorder="1" applyAlignment="1">
      <alignment horizontal="center" vertical="center"/>
    </xf>
    <xf numFmtId="20" fontId="7" fillId="4" borderId="12" xfId="0" applyNumberFormat="1" applyFont="1" applyFill="1" applyBorder="1" applyAlignment="1">
      <alignment horizontal="center" vertical="center"/>
    </xf>
    <xf numFmtId="0" fontId="7" fillId="4" borderId="12" xfId="0" applyFont="1" applyFill="1" applyBorder="1" applyAlignment="1">
      <alignment horizontal="left" vertical="center"/>
    </xf>
    <xf numFmtId="164" fontId="7" fillId="6" borderId="19" xfId="0" applyNumberFormat="1" applyFont="1" applyFill="1" applyBorder="1" applyAlignment="1" applyProtection="1">
      <alignment horizontal="left"/>
      <protection locked="0"/>
    </xf>
    <xf numFmtId="164" fontId="7" fillId="6" borderId="43" xfId="0" applyNumberFormat="1" applyFont="1" applyFill="1" applyBorder="1" applyAlignment="1" applyProtection="1">
      <alignment horizontal="left" vertical="center"/>
      <protection locked="0"/>
    </xf>
    <xf numFmtId="20" fontId="7" fillId="7" borderId="44" xfId="0" applyNumberFormat="1" applyFont="1" applyFill="1" applyBorder="1" applyAlignment="1">
      <alignment horizontal="left" vertical="center"/>
    </xf>
    <xf numFmtId="164" fontId="9" fillId="6" borderId="40" xfId="0" applyNumberFormat="1" applyFont="1" applyFill="1" applyBorder="1" applyAlignment="1" applyProtection="1">
      <alignment horizontal="center" vertical="center"/>
      <protection locked="0"/>
    </xf>
    <xf numFmtId="9" fontId="7" fillId="7" borderId="12" xfId="1" applyFont="1" applyFill="1" applyBorder="1" applyAlignment="1">
      <alignment horizontal="center" vertical="center"/>
    </xf>
    <xf numFmtId="20" fontId="3" fillId="7" borderId="12" xfId="0" applyNumberFormat="1" applyFont="1" applyFill="1" applyBorder="1" applyAlignment="1">
      <alignment horizontal="center" vertical="center" wrapText="1"/>
    </xf>
    <xf numFmtId="14" fontId="7" fillId="6" borderId="19" xfId="0" applyNumberFormat="1" applyFont="1" applyFill="1" applyBorder="1" applyAlignment="1" applyProtection="1">
      <alignment horizontal="right" vertical="center"/>
      <protection locked="0"/>
    </xf>
    <xf numFmtId="164" fontId="7" fillId="5" borderId="19" xfId="0" applyNumberFormat="1" applyFont="1" applyFill="1" applyBorder="1" applyAlignment="1" applyProtection="1">
      <alignment horizontal="right" vertical="center"/>
      <protection locked="0"/>
    </xf>
    <xf numFmtId="164" fontId="9" fillId="6" borderId="39" xfId="0" applyNumberFormat="1" applyFont="1" applyFill="1" applyBorder="1" applyAlignment="1" applyProtection="1">
      <alignment vertical="center"/>
      <protection locked="0"/>
    </xf>
    <xf numFmtId="164" fontId="9" fillId="6" borderId="4" xfId="0" applyNumberFormat="1" applyFont="1" applyFill="1" applyBorder="1" applyAlignment="1" applyProtection="1">
      <alignment vertical="center"/>
      <protection locked="0"/>
    </xf>
    <xf numFmtId="0" fontId="0" fillId="2" borderId="0" xfId="0" applyFill="1" applyAlignment="1">
      <alignment vertical="center"/>
    </xf>
    <xf numFmtId="0" fontId="24" fillId="9" borderId="0" xfId="0" applyFont="1" applyFill="1"/>
    <xf numFmtId="0" fontId="22" fillId="9" borderId="0" xfId="0" applyFont="1" applyFill="1" applyBorder="1" applyAlignment="1">
      <alignment vertical="center"/>
    </xf>
    <xf numFmtId="0" fontId="22" fillId="9" borderId="0" xfId="0" applyFont="1" applyFill="1" applyAlignment="1">
      <alignment vertical="center"/>
    </xf>
    <xf numFmtId="0" fontId="24" fillId="4" borderId="0" xfId="0" applyFont="1" applyFill="1"/>
    <xf numFmtId="0" fontId="11" fillId="9" borderId="0" xfId="0" applyFont="1" applyFill="1" applyAlignment="1"/>
    <xf numFmtId="0" fontId="25" fillId="9" borderId="0" xfId="0" applyFont="1" applyFill="1" applyAlignment="1"/>
    <xf numFmtId="164" fontId="7" fillId="5" borderId="49" xfId="0" applyNumberFormat="1" applyFont="1" applyFill="1" applyBorder="1" applyAlignment="1" applyProtection="1">
      <alignment vertical="center"/>
      <protection locked="0"/>
    </xf>
    <xf numFmtId="164" fontId="7" fillId="6" borderId="50" xfId="0" applyNumberFormat="1" applyFont="1" applyFill="1" applyBorder="1" applyAlignment="1" applyProtection="1">
      <alignment vertical="center"/>
      <protection locked="0"/>
    </xf>
    <xf numFmtId="164" fontId="7" fillId="5" borderId="50" xfId="0" applyNumberFormat="1" applyFont="1" applyFill="1" applyBorder="1" applyAlignment="1" applyProtection="1">
      <alignment vertical="center"/>
      <protection locked="0"/>
    </xf>
    <xf numFmtId="164" fontId="7" fillId="6" borderId="50" xfId="0" applyNumberFormat="1" applyFont="1" applyFill="1" applyBorder="1" applyAlignment="1" applyProtection="1">
      <alignment horizontal="left" vertical="center"/>
      <protection locked="0"/>
    </xf>
    <xf numFmtId="164" fontId="7" fillId="5" borderId="50" xfId="0" applyNumberFormat="1" applyFont="1" applyFill="1" applyBorder="1" applyAlignment="1" applyProtection="1">
      <alignment horizontal="left" vertical="center"/>
      <protection locked="0"/>
    </xf>
    <xf numFmtId="164" fontId="9" fillId="6" borderId="51" xfId="0" applyNumberFormat="1" applyFont="1" applyFill="1" applyBorder="1" applyAlignment="1" applyProtection="1">
      <alignment vertical="center"/>
      <protection locked="0"/>
    </xf>
    <xf numFmtId="164" fontId="7" fillId="5" borderId="52" xfId="0" applyNumberFormat="1" applyFont="1" applyFill="1" applyBorder="1" applyAlignment="1" applyProtection="1">
      <alignment vertical="center"/>
      <protection locked="0"/>
    </xf>
    <xf numFmtId="164" fontId="7" fillId="5" borderId="53" xfId="0" applyNumberFormat="1" applyFont="1" applyFill="1" applyBorder="1" applyAlignment="1" applyProtection="1">
      <alignment horizontal="right" vertical="center"/>
      <protection locked="0"/>
    </xf>
    <xf numFmtId="164" fontId="7" fillId="5" borderId="54" xfId="0" applyNumberFormat="1" applyFont="1" applyFill="1" applyBorder="1" applyAlignment="1" applyProtection="1">
      <alignment horizontal="left" vertical="center"/>
      <protection locked="0"/>
    </xf>
    <xf numFmtId="49" fontId="7" fillId="5" borderId="6" xfId="0" applyNumberFormat="1" applyFont="1" applyFill="1" applyBorder="1" applyAlignment="1" applyProtection="1">
      <alignment horizontal="right" vertical="center"/>
      <protection locked="0"/>
    </xf>
    <xf numFmtId="20" fontId="3" fillId="4" borderId="12" xfId="0" applyNumberFormat="1" applyFont="1" applyFill="1" applyBorder="1" applyAlignment="1">
      <alignment horizontal="center" vertical="center" wrapText="1"/>
    </xf>
    <xf numFmtId="0" fontId="0" fillId="9" borderId="0" xfId="0" applyFill="1" applyAlignment="1">
      <alignment wrapText="1"/>
    </xf>
    <xf numFmtId="164" fontId="7" fillId="6" borderId="19" xfId="0" applyNumberFormat="1" applyFont="1" applyFill="1" applyBorder="1" applyAlignment="1" applyProtection="1">
      <alignment horizontal="right" vertical="center" wrapText="1"/>
      <protection locked="0"/>
    </xf>
    <xf numFmtId="164" fontId="7" fillId="6" borderId="50" xfId="0" applyNumberFormat="1" applyFont="1" applyFill="1" applyBorder="1" applyAlignment="1" applyProtection="1">
      <alignment horizontal="left" vertical="center" wrapText="1"/>
      <protection locked="0"/>
    </xf>
    <xf numFmtId="0" fontId="0" fillId="2" borderId="0" xfId="0" applyFill="1" applyAlignment="1">
      <alignment wrapText="1"/>
    </xf>
    <xf numFmtId="20" fontId="3" fillId="7" borderId="12" xfId="0" applyNumberFormat="1" applyFont="1" applyFill="1" applyBorder="1" applyAlignment="1">
      <alignment horizontal="left" vertical="center" wrapText="1"/>
    </xf>
    <xf numFmtId="0" fontId="3" fillId="7" borderId="12"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58" xfId="0" applyFont="1" applyFill="1" applyBorder="1" applyAlignment="1">
      <alignment horizontal="center" vertical="center"/>
    </xf>
    <xf numFmtId="0" fontId="3" fillId="7" borderId="56" xfId="0" applyFont="1" applyFill="1" applyBorder="1" applyAlignment="1">
      <alignment horizontal="center" vertical="center"/>
    </xf>
    <xf numFmtId="164" fontId="7" fillId="6" borderId="35" xfId="0" applyNumberFormat="1" applyFont="1" applyFill="1" applyBorder="1" applyAlignment="1" applyProtection="1">
      <alignment horizontal="left" vertical="center" wrapText="1"/>
      <protection locked="0"/>
    </xf>
    <xf numFmtId="0" fontId="12" fillId="9" borderId="0" xfId="0" applyFont="1" applyFill="1" applyAlignment="1">
      <alignment horizontal="left" indent="2"/>
    </xf>
    <xf numFmtId="0" fontId="22" fillId="9" borderId="0" xfId="0" applyFont="1" applyFill="1" applyAlignment="1"/>
    <xf numFmtId="0" fontId="11" fillId="9" borderId="0" xfId="0" applyFont="1" applyFill="1" applyAlignment="1">
      <alignment vertical="center" wrapText="1"/>
    </xf>
    <xf numFmtId="0" fontId="22" fillId="9" borderId="0" xfId="0" applyFont="1" applyFill="1"/>
    <xf numFmtId="0" fontId="11" fillId="9" borderId="0" xfId="0" applyFont="1" applyFill="1" applyAlignment="1">
      <alignment horizontal="left" vertical="center" wrapText="1"/>
    </xf>
    <xf numFmtId="164" fontId="7" fillId="6" borderId="20" xfId="0" applyNumberFormat="1" applyFont="1" applyFill="1" applyBorder="1" applyAlignment="1" applyProtection="1">
      <alignment horizontal="right" vertical="center"/>
      <protection locked="0"/>
    </xf>
    <xf numFmtId="164" fontId="7" fillId="6" borderId="5" xfId="0" applyNumberFormat="1" applyFont="1" applyFill="1" applyBorder="1" applyAlignment="1" applyProtection="1">
      <alignment horizontal="left" vertical="center"/>
      <protection locked="0"/>
    </xf>
    <xf numFmtId="1" fontId="7" fillId="6" borderId="55" xfId="0" applyNumberFormat="1" applyFont="1" applyFill="1" applyBorder="1" applyAlignment="1" applyProtection="1">
      <alignment horizontal="center" vertical="center"/>
    </xf>
    <xf numFmtId="164" fontId="7" fillId="3" borderId="0" xfId="0" applyNumberFormat="1" applyFont="1" applyFill="1" applyBorder="1" applyAlignment="1" applyProtection="1">
      <alignment horizontal="left" vertical="center"/>
      <protection locked="0"/>
    </xf>
    <xf numFmtId="1" fontId="7" fillId="5" borderId="56" xfId="0" applyNumberFormat="1" applyFont="1" applyFill="1" applyBorder="1" applyAlignment="1" applyProtection="1">
      <alignment horizontal="center" vertical="center"/>
    </xf>
    <xf numFmtId="164" fontId="7" fillId="6" borderId="0" xfId="0" applyNumberFormat="1" applyFont="1" applyFill="1" applyBorder="1" applyAlignment="1" applyProtection="1">
      <alignment horizontal="left" vertical="center"/>
      <protection locked="0"/>
    </xf>
    <xf numFmtId="1" fontId="7" fillId="6" borderId="56" xfId="0" applyNumberFormat="1" applyFont="1" applyFill="1" applyBorder="1" applyAlignment="1" applyProtection="1">
      <alignment horizontal="center" vertical="center"/>
    </xf>
    <xf numFmtId="2" fontId="7" fillId="3" borderId="0" xfId="0" applyNumberFormat="1" applyFont="1" applyFill="1" applyBorder="1" applyAlignment="1" applyProtection="1">
      <alignment horizontal="left" vertical="center"/>
      <protection locked="0"/>
    </xf>
    <xf numFmtId="2" fontId="7" fillId="6" borderId="0" xfId="0" applyNumberFormat="1" applyFont="1" applyFill="1" applyBorder="1" applyAlignment="1" applyProtection="1">
      <alignment horizontal="left" vertical="center"/>
      <protection locked="0"/>
    </xf>
    <xf numFmtId="2" fontId="7" fillId="5" borderId="19" xfId="0" applyNumberFormat="1" applyFont="1" applyFill="1" applyBorder="1" applyAlignment="1" applyProtection="1">
      <alignment horizontal="right" vertical="center"/>
      <protection locked="0"/>
    </xf>
    <xf numFmtId="20" fontId="7" fillId="6" borderId="56" xfId="0" applyNumberFormat="1" applyFont="1" applyFill="1" applyBorder="1" applyAlignment="1" applyProtection="1">
      <alignment horizontal="center" vertical="center"/>
    </xf>
    <xf numFmtId="164" fontId="7" fillId="3" borderId="23" xfId="0" applyNumberFormat="1" applyFont="1" applyFill="1" applyBorder="1" applyAlignment="1" applyProtection="1">
      <alignment horizontal="right" vertical="center"/>
      <protection locked="0"/>
    </xf>
    <xf numFmtId="164" fontId="7" fillId="3" borderId="13" xfId="0" applyNumberFormat="1" applyFont="1" applyFill="1" applyBorder="1" applyAlignment="1" applyProtection="1">
      <alignment horizontal="left" vertical="center"/>
      <protection locked="0"/>
    </xf>
    <xf numFmtId="9" fontId="7" fillId="5" borderId="57" xfId="1" applyFont="1" applyFill="1" applyBorder="1" applyAlignment="1" applyProtection="1">
      <alignment horizontal="center" vertical="center"/>
    </xf>
    <xf numFmtId="164" fontId="7" fillId="6" borderId="33" xfId="0" applyNumberFormat="1" applyFont="1" applyFill="1" applyBorder="1" applyAlignment="1" applyProtection="1">
      <alignment horizontal="right" vertical="center"/>
    </xf>
    <xf numFmtId="20" fontId="7" fillId="6" borderId="37" xfId="0" applyNumberFormat="1" applyFont="1" applyFill="1" applyBorder="1" applyAlignment="1" applyProtection="1">
      <alignment vertical="center"/>
      <protection locked="0"/>
    </xf>
    <xf numFmtId="20" fontId="7" fillId="6" borderId="38" xfId="0" applyNumberFormat="1" applyFont="1" applyFill="1" applyBorder="1" applyAlignment="1" applyProtection="1">
      <alignment vertical="center"/>
      <protection locked="0"/>
    </xf>
    <xf numFmtId="2" fontId="7" fillId="3" borderId="35" xfId="0" applyNumberFormat="1" applyFont="1" applyFill="1" applyBorder="1" applyAlignment="1" applyProtection="1">
      <alignment horizontal="right" vertical="center"/>
    </xf>
    <xf numFmtId="20" fontId="7" fillId="5" borderId="29" xfId="0" applyNumberFormat="1" applyFont="1" applyFill="1" applyBorder="1" applyAlignment="1" applyProtection="1">
      <alignment vertical="center"/>
      <protection locked="0"/>
    </xf>
    <xf numFmtId="20" fontId="7" fillId="5" borderId="30" xfId="0" applyNumberFormat="1" applyFont="1" applyFill="1" applyBorder="1" applyAlignment="1" applyProtection="1">
      <alignment vertical="center"/>
      <protection locked="0"/>
    </xf>
    <xf numFmtId="2" fontId="7" fillId="6" borderId="36" xfId="0" applyNumberFormat="1" applyFont="1" applyFill="1" applyBorder="1" applyAlignment="1" applyProtection="1">
      <alignment horizontal="right" vertical="center"/>
    </xf>
    <xf numFmtId="9" fontId="7" fillId="6" borderId="31" xfId="1" applyFont="1" applyFill="1" applyBorder="1" applyAlignment="1" applyProtection="1">
      <alignment vertical="center"/>
      <protection locked="0"/>
    </xf>
    <xf numFmtId="9" fontId="7" fillId="6" borderId="32" xfId="1" applyFont="1" applyFill="1" applyBorder="1" applyAlignment="1" applyProtection="1">
      <alignment vertical="center"/>
      <protection locked="0"/>
    </xf>
    <xf numFmtId="0" fontId="32" fillId="9" borderId="0" xfId="0" applyFont="1" applyFill="1"/>
    <xf numFmtId="0" fontId="25" fillId="9" borderId="59" xfId="0" applyFont="1" applyFill="1" applyBorder="1"/>
    <xf numFmtId="0" fontId="32" fillId="9" borderId="0" xfId="0" applyFont="1" applyFill="1" applyAlignment="1"/>
    <xf numFmtId="164" fontId="7" fillId="5" borderId="43" xfId="0" applyNumberFormat="1" applyFont="1" applyFill="1" applyBorder="1" applyAlignment="1" applyProtection="1">
      <alignment horizontal="left" vertical="center"/>
      <protection locked="0"/>
    </xf>
    <xf numFmtId="164" fontId="7" fillId="5" borderId="19" xfId="0" applyNumberFormat="1" applyFont="1" applyFill="1" applyBorder="1" applyAlignment="1" applyProtection="1">
      <alignment horizontal="left"/>
      <protection locked="0"/>
    </xf>
    <xf numFmtId="20" fontId="3" fillId="4" borderId="12" xfId="0" applyNumberFormat="1" applyFont="1" applyFill="1" applyBorder="1" applyAlignment="1">
      <alignment horizontal="left" vertical="center" wrapText="1"/>
    </xf>
    <xf numFmtId="9" fontId="3" fillId="7" borderId="12" xfId="0" applyNumberFormat="1" applyFont="1" applyFill="1" applyBorder="1" applyAlignment="1">
      <alignment horizontal="left" vertical="center" wrapText="1"/>
    </xf>
    <xf numFmtId="0" fontId="11" fillId="9" borderId="0" xfId="0" applyFont="1" applyFill="1" applyAlignment="1">
      <alignment horizontal="left" indent="2"/>
    </xf>
    <xf numFmtId="0" fontId="11" fillId="9" borderId="0" xfId="0" applyFont="1" applyFill="1" applyAlignment="1">
      <alignment horizontal="left" vertical="center"/>
    </xf>
    <xf numFmtId="0" fontId="11" fillId="9" borderId="0" xfId="0" applyFont="1" applyFill="1" applyAlignment="1">
      <alignment vertical="center"/>
    </xf>
    <xf numFmtId="0" fontId="11" fillId="9" borderId="0" xfId="0" applyFont="1" applyFill="1" applyAlignment="1">
      <alignment horizontal="left" indent="4"/>
    </xf>
    <xf numFmtId="0" fontId="27" fillId="9" borderId="0" xfId="2" applyFont="1" applyFill="1" applyAlignment="1">
      <alignment horizontal="left"/>
    </xf>
    <xf numFmtId="0" fontId="12" fillId="9" borderId="0" xfId="0" applyFont="1" applyFill="1" applyAlignment="1">
      <alignment horizontal="left" indent="2"/>
    </xf>
    <xf numFmtId="0" fontId="11" fillId="9" borderId="0" xfId="0" applyFont="1" applyFill="1" applyAlignment="1">
      <alignment vertical="center" wrapText="1"/>
    </xf>
    <xf numFmtId="0" fontId="12" fillId="4" borderId="0" xfId="0" applyFont="1" applyFill="1" applyAlignment="1">
      <alignment horizontal="left" indent="2"/>
    </xf>
    <xf numFmtId="0" fontId="23" fillId="8" borderId="48" xfId="0" applyFont="1" applyFill="1" applyBorder="1" applyAlignment="1">
      <alignment horizontal="left" vertical="center" indent="20"/>
    </xf>
    <xf numFmtId="0" fontId="14" fillId="8" borderId="48" xfId="0" applyFont="1" applyFill="1" applyBorder="1" applyAlignment="1">
      <alignment horizontal="left" vertical="center" indent="20"/>
    </xf>
    <xf numFmtId="0" fontId="10" fillId="9" borderId="0" xfId="0" applyFont="1" applyFill="1" applyBorder="1" applyAlignment="1">
      <alignment horizontal="left" vertical="center" wrapText="1"/>
    </xf>
    <xf numFmtId="0" fontId="22" fillId="9" borderId="0" xfId="0" applyFont="1" applyFill="1" applyBorder="1" applyAlignment="1">
      <alignment horizontal="left" vertical="center"/>
    </xf>
    <xf numFmtId="0" fontId="11" fillId="9" borderId="0" xfId="0" applyFont="1" applyFill="1" applyAlignment="1">
      <alignment horizontal="left" vertical="center" wrapText="1"/>
    </xf>
    <xf numFmtId="0" fontId="6" fillId="10" borderId="7" xfId="0" applyFont="1" applyFill="1" applyBorder="1" applyAlignment="1">
      <alignment horizontal="center" vertical="center" wrapText="1"/>
    </xf>
    <xf numFmtId="0" fontId="6" fillId="10" borderId="17" xfId="0" applyFont="1" applyFill="1" applyBorder="1" applyAlignment="1">
      <alignment horizontal="center" vertical="center" wrapText="1"/>
    </xf>
    <xf numFmtId="0" fontId="6" fillId="9" borderId="0" xfId="0" applyFont="1" applyFill="1" applyBorder="1" applyAlignment="1">
      <alignment horizontal="center"/>
    </xf>
    <xf numFmtId="0" fontId="6" fillId="11" borderId="25" xfId="0" applyFont="1" applyFill="1" applyBorder="1" applyAlignment="1">
      <alignment horizontal="center" vertical="center"/>
    </xf>
    <xf numFmtId="0" fontId="6" fillId="11" borderId="10" xfId="0" applyFont="1" applyFill="1" applyBorder="1" applyAlignment="1">
      <alignment horizontal="center" vertical="center"/>
    </xf>
    <xf numFmtId="0" fontId="6" fillId="11" borderId="26" xfId="0" applyFont="1" applyFill="1" applyBorder="1" applyAlignment="1">
      <alignment horizontal="center" vertical="center"/>
    </xf>
    <xf numFmtId="0" fontId="6" fillId="12" borderId="21" xfId="0" applyFont="1" applyFill="1" applyBorder="1" applyAlignment="1">
      <alignment horizontal="center" vertical="center" wrapText="1"/>
    </xf>
    <xf numFmtId="0" fontId="6" fillId="12" borderId="18" xfId="0" applyFont="1" applyFill="1" applyBorder="1" applyAlignment="1">
      <alignment horizontal="center" vertical="center" wrapText="1"/>
    </xf>
    <xf numFmtId="0" fontId="21" fillId="10" borderId="7"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6" fillId="10" borderId="9" xfId="0" applyFont="1" applyFill="1" applyBorder="1" applyAlignment="1">
      <alignment horizontal="center" vertical="center" wrapText="1"/>
    </xf>
    <xf numFmtId="164" fontId="9" fillId="5" borderId="45" xfId="0" applyNumberFormat="1" applyFont="1" applyFill="1" applyBorder="1" applyAlignment="1" applyProtection="1">
      <alignment horizontal="center" vertical="center"/>
      <protection locked="0"/>
    </xf>
    <xf numFmtId="164" fontId="9" fillId="5" borderId="46" xfId="0" applyNumberFormat="1" applyFont="1" applyFill="1" applyBorder="1" applyAlignment="1" applyProtection="1">
      <alignment horizontal="center" vertical="center"/>
      <protection locked="0"/>
    </xf>
    <xf numFmtId="164" fontId="9" fillId="5" borderId="47" xfId="0" applyNumberFormat="1" applyFont="1" applyFill="1" applyBorder="1" applyAlignment="1" applyProtection="1">
      <alignment horizontal="center" vertical="center"/>
      <protection locked="0"/>
    </xf>
    <xf numFmtId="164" fontId="3" fillId="5" borderId="19" xfId="0" applyNumberFormat="1" applyFont="1" applyFill="1" applyBorder="1" applyAlignment="1" applyProtection="1">
      <alignment horizontal="left" vertical="center"/>
      <protection locked="0"/>
    </xf>
    <xf numFmtId="164" fontId="7" fillId="5" borderId="43" xfId="0" applyNumberFormat="1" applyFont="1" applyFill="1" applyBorder="1" applyAlignment="1" applyProtection="1">
      <alignment horizontal="left" vertical="center"/>
      <protection locked="0"/>
    </xf>
    <xf numFmtId="164" fontId="7" fillId="6" borderId="41" xfId="0" applyNumberFormat="1" applyFont="1" applyFill="1" applyBorder="1" applyAlignment="1" applyProtection="1">
      <alignment horizontal="left" vertical="center"/>
      <protection locked="0"/>
    </xf>
    <xf numFmtId="164" fontId="7" fillId="6" borderId="42" xfId="0" applyNumberFormat="1" applyFont="1" applyFill="1" applyBorder="1" applyAlignment="1" applyProtection="1">
      <alignment horizontal="left" vertical="center"/>
      <protection locked="0"/>
    </xf>
    <xf numFmtId="0" fontId="21" fillId="10" borderId="8" xfId="0" applyFont="1" applyFill="1" applyBorder="1" applyAlignment="1">
      <alignment horizontal="center" vertical="center" wrapText="1"/>
    </xf>
    <xf numFmtId="0" fontId="21" fillId="10" borderId="9" xfId="0" applyFont="1" applyFill="1" applyBorder="1" applyAlignment="1">
      <alignment horizontal="center" vertical="center" wrapText="1"/>
    </xf>
    <xf numFmtId="0" fontId="6" fillId="12" borderId="22" xfId="0" applyFont="1" applyFill="1" applyBorder="1" applyAlignment="1">
      <alignment horizontal="center" vertical="center" wrapText="1"/>
    </xf>
    <xf numFmtId="164" fontId="9" fillId="6" borderId="45" xfId="0" applyNumberFormat="1" applyFont="1" applyFill="1" applyBorder="1" applyAlignment="1" applyProtection="1">
      <alignment horizontal="center" vertical="center"/>
      <protection locked="0"/>
    </xf>
    <xf numFmtId="164" fontId="9" fillId="6" borderId="46" xfId="0" applyNumberFormat="1" applyFont="1" applyFill="1" applyBorder="1" applyAlignment="1" applyProtection="1">
      <alignment horizontal="center" vertical="center"/>
      <protection locked="0"/>
    </xf>
    <xf numFmtId="164" fontId="9" fillId="6" borderId="47" xfId="0" applyNumberFormat="1" applyFont="1" applyFill="1" applyBorder="1" applyAlignment="1" applyProtection="1">
      <alignment horizontal="center" vertical="center"/>
      <protection locked="0"/>
    </xf>
    <xf numFmtId="0" fontId="0" fillId="0" borderId="0" xfId="0"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2C396E"/>
      <color rgb="FF272A45"/>
      <color rgb="FF35356D"/>
      <color rgb="FF305496"/>
      <color rgb="FF1D2337"/>
      <color rgb="FF3450AA"/>
      <color rgb="FF8985D7"/>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P"/>
        </a:p>
      </c:txPr>
    </c:title>
    <c:autoTitleDeleted val="0"/>
    <c:plotArea>
      <c:layout/>
      <c:lineChart>
        <c:grouping val="standard"/>
        <c:varyColors val="0"/>
        <c:ser>
          <c:idx val="0"/>
          <c:order val="0"/>
          <c:tx>
            <c:v>Sleep Efficiency for Week 1</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 1'!$F$4:$L$4</c:f>
              <c:numCache>
                <c:formatCode>m/d/yy;@</c:formatCode>
                <c:ptCount val="7"/>
                <c:pt idx="0">
                  <c:v>39405</c:v>
                </c:pt>
              </c:numCache>
            </c:numRef>
          </c:cat>
          <c:val>
            <c:numRef>
              <c:f>'Week 1'!$F$19:$L$19</c:f>
              <c:numCache>
                <c:formatCode>0%</c:formatCode>
                <c:ptCount val="7"/>
                <c:pt idx="0">
                  <c:v>0.99425737405377179</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54BC-774B-AB28-5662242A16FB}"/>
            </c:ext>
          </c:extLst>
        </c:ser>
        <c:ser>
          <c:idx val="1"/>
          <c:order val="1"/>
          <c:tx>
            <c:v>Goal</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'Week 1'!$F$15:$L$15</c:f>
            </c:numRef>
          </c:val>
          <c:smooth val="0"/>
          <c:extLst>
            <c:ext xmlns:c16="http://schemas.microsoft.com/office/drawing/2014/chart" uri="{C3380CC4-5D6E-409C-BE32-E72D297353CC}">
              <c16:uniqueId val="{00000001-54BC-774B-AB28-5662242A16FB}"/>
            </c:ext>
          </c:extLst>
        </c:ser>
        <c:dLbls>
          <c:showLegendKey val="0"/>
          <c:showVal val="0"/>
          <c:showCatName val="0"/>
          <c:showSerName val="0"/>
          <c:showPercent val="0"/>
          <c:showBubbleSize val="0"/>
        </c:dLbls>
        <c:smooth val="0"/>
        <c:axId val="1965237744"/>
        <c:axId val="1965239440"/>
      </c:lineChart>
      <c:dateAx>
        <c:axId val="1965237744"/>
        <c:scaling>
          <c:orientation val="minMax"/>
        </c:scaling>
        <c:delete val="0"/>
        <c:axPos val="b"/>
        <c:numFmt formatCode="m/d/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9440"/>
        <c:crosses val="autoZero"/>
        <c:auto val="1"/>
        <c:lblOffset val="100"/>
        <c:baseTimeUnit val="days"/>
      </c:dateAx>
      <c:valAx>
        <c:axId val="19652394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c:spPr>
  <c:txPr>
    <a:bodyPr/>
    <a:lstStyle/>
    <a:p>
      <a:pPr>
        <a:defRPr/>
      </a:pPr>
      <a:endParaRPr lang="en-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P"/>
        </a:p>
      </c:txPr>
    </c:title>
    <c:autoTitleDeleted val="0"/>
    <c:plotArea>
      <c:layout/>
      <c:lineChart>
        <c:grouping val="standard"/>
        <c:varyColors val="0"/>
        <c:ser>
          <c:idx val="0"/>
          <c:order val="0"/>
          <c:tx>
            <c:v>Sleep Efficiency for Week 2</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 2'!$F$13:$L$13</c:f>
              <c:numCache>
                <c:formatCode>m/d/yy;@</c:formatCode>
                <c:ptCount val="7"/>
              </c:numCache>
            </c:numRef>
          </c:cat>
          <c:val>
            <c:numRef>
              <c:f>'Week 2'!$F$28:$L$28</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A344-534B-A92B-227075D841C2}"/>
            </c:ext>
          </c:extLst>
        </c:ser>
        <c:ser>
          <c:idx val="1"/>
          <c:order val="1"/>
          <c:tx>
            <c:v>Goal</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'Week 2'!$F$13:$L$13</c:f>
              <c:numCache>
                <c:formatCode>m/d/yy;@</c:formatCode>
                <c:ptCount val="7"/>
              </c:numCache>
            </c:numRef>
          </c:cat>
          <c:val>
            <c:numRef>
              <c:f>'Week 1'!$F$15:$L$15</c:f>
            </c:numRef>
          </c:val>
          <c:smooth val="0"/>
          <c:extLst>
            <c:ext xmlns:c16="http://schemas.microsoft.com/office/drawing/2014/chart" uri="{C3380CC4-5D6E-409C-BE32-E72D297353CC}">
              <c16:uniqueId val="{00000001-A344-534B-A92B-227075D841C2}"/>
            </c:ext>
          </c:extLst>
        </c:ser>
        <c:dLbls>
          <c:showLegendKey val="0"/>
          <c:showVal val="0"/>
          <c:showCatName val="0"/>
          <c:showSerName val="0"/>
          <c:showPercent val="0"/>
          <c:showBubbleSize val="0"/>
        </c:dLbls>
        <c:smooth val="0"/>
        <c:axId val="1965237744"/>
        <c:axId val="1965239440"/>
      </c:lineChart>
      <c:catAx>
        <c:axId val="1965237744"/>
        <c:scaling>
          <c:orientation val="minMax"/>
        </c:scaling>
        <c:delete val="0"/>
        <c:axPos val="b"/>
        <c:numFmt formatCode="m/d/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9440"/>
        <c:crosses val="autoZero"/>
        <c:auto val="1"/>
        <c:lblAlgn val="ctr"/>
        <c:lblOffset val="100"/>
        <c:noMultiLvlLbl val="1"/>
      </c:catAx>
      <c:valAx>
        <c:axId val="19652394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7744"/>
        <c:crosses val="autoZero"/>
        <c:crossBetween val="between"/>
      </c:valAx>
      <c:spPr>
        <a:noFill/>
        <a:ln>
          <a:solidFill>
            <a:schemeClr val="accent5"/>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c:spPr>
  <c:txPr>
    <a:bodyPr/>
    <a:lstStyle/>
    <a:p>
      <a:pPr>
        <a:defRPr/>
      </a:pPr>
      <a:endParaRPr lang="en-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P"/>
        </a:p>
      </c:txPr>
    </c:title>
    <c:autoTitleDeleted val="0"/>
    <c:plotArea>
      <c:layout/>
      <c:lineChart>
        <c:grouping val="standard"/>
        <c:varyColors val="0"/>
        <c:ser>
          <c:idx val="0"/>
          <c:order val="0"/>
          <c:tx>
            <c:v>Sleep Efficiency for Week 3</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 3'!$F$19:$L$19</c:f>
              <c:numCache>
                <c:formatCode>m/d/yy;@</c:formatCode>
                <c:ptCount val="7"/>
              </c:numCache>
            </c:numRef>
          </c:cat>
          <c:val>
            <c:numRef>
              <c:f>'Week 3'!$F$34:$L$34</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870F-4C41-8F3D-1E599ECFE777}"/>
            </c:ext>
          </c:extLst>
        </c:ser>
        <c:ser>
          <c:idx val="1"/>
          <c:order val="1"/>
          <c:tx>
            <c:v>Goal</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'Week 3'!$F$19:$L$19</c:f>
              <c:numCache>
                <c:formatCode>m/d/yy;@</c:formatCode>
                <c:ptCount val="7"/>
              </c:numCache>
            </c:numRef>
          </c:cat>
          <c:val>
            <c:numRef>
              <c:f>'Week 1'!$F$15:$L$15</c:f>
            </c:numRef>
          </c:val>
          <c:smooth val="0"/>
          <c:extLst>
            <c:ext xmlns:c16="http://schemas.microsoft.com/office/drawing/2014/chart" uri="{C3380CC4-5D6E-409C-BE32-E72D297353CC}">
              <c16:uniqueId val="{00000001-870F-4C41-8F3D-1E599ECFE777}"/>
            </c:ext>
          </c:extLst>
        </c:ser>
        <c:dLbls>
          <c:showLegendKey val="0"/>
          <c:showVal val="0"/>
          <c:showCatName val="0"/>
          <c:showSerName val="0"/>
          <c:showPercent val="0"/>
          <c:showBubbleSize val="0"/>
        </c:dLbls>
        <c:smooth val="0"/>
        <c:axId val="1965237744"/>
        <c:axId val="1965239440"/>
      </c:lineChart>
      <c:catAx>
        <c:axId val="1965237744"/>
        <c:scaling>
          <c:orientation val="minMax"/>
        </c:scaling>
        <c:delete val="0"/>
        <c:axPos val="b"/>
        <c:numFmt formatCode="m/d/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9440"/>
        <c:crosses val="autoZero"/>
        <c:auto val="1"/>
        <c:lblAlgn val="ctr"/>
        <c:lblOffset val="100"/>
        <c:noMultiLvlLbl val="1"/>
      </c:catAx>
      <c:valAx>
        <c:axId val="19652394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c:spPr>
  <c:txPr>
    <a:bodyPr/>
    <a:lstStyle/>
    <a:p>
      <a:pPr>
        <a:defRPr/>
      </a:pPr>
      <a:endParaRPr lang="en-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P"/>
        </a:p>
      </c:txPr>
    </c:title>
    <c:autoTitleDeleted val="0"/>
    <c:plotArea>
      <c:layout/>
      <c:lineChart>
        <c:grouping val="standard"/>
        <c:varyColors val="0"/>
        <c:ser>
          <c:idx val="0"/>
          <c:order val="0"/>
          <c:tx>
            <c:v>Sleep Efficiency for Week 4</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 4'!$F$19:$L$19</c:f>
              <c:numCache>
                <c:formatCode>m/d/yy;@</c:formatCode>
                <c:ptCount val="7"/>
              </c:numCache>
            </c:numRef>
          </c:cat>
          <c:val>
            <c:numRef>
              <c:f>'Week 4'!$F$34:$L$34</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68E4-2C48-B9CD-3F5EB0018B25}"/>
            </c:ext>
          </c:extLst>
        </c:ser>
        <c:ser>
          <c:idx val="1"/>
          <c:order val="1"/>
          <c:tx>
            <c:v>Goal</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'Week 4'!$F$19:$L$19</c:f>
              <c:numCache>
                <c:formatCode>m/d/yy;@</c:formatCode>
                <c:ptCount val="7"/>
              </c:numCache>
            </c:numRef>
          </c:cat>
          <c:val>
            <c:numRef>
              <c:f>'Week 1'!$F$15:$L$15</c:f>
            </c:numRef>
          </c:val>
          <c:smooth val="0"/>
          <c:extLst>
            <c:ext xmlns:c16="http://schemas.microsoft.com/office/drawing/2014/chart" uri="{C3380CC4-5D6E-409C-BE32-E72D297353CC}">
              <c16:uniqueId val="{00000001-68E4-2C48-B9CD-3F5EB0018B25}"/>
            </c:ext>
          </c:extLst>
        </c:ser>
        <c:dLbls>
          <c:showLegendKey val="0"/>
          <c:showVal val="0"/>
          <c:showCatName val="0"/>
          <c:showSerName val="0"/>
          <c:showPercent val="0"/>
          <c:showBubbleSize val="0"/>
        </c:dLbls>
        <c:smooth val="0"/>
        <c:axId val="1965237744"/>
        <c:axId val="1965239440"/>
      </c:lineChart>
      <c:catAx>
        <c:axId val="1965237744"/>
        <c:scaling>
          <c:orientation val="minMax"/>
        </c:scaling>
        <c:delete val="0"/>
        <c:axPos val="b"/>
        <c:numFmt formatCode="m/d/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9440"/>
        <c:crosses val="autoZero"/>
        <c:auto val="1"/>
        <c:lblAlgn val="ctr"/>
        <c:lblOffset val="100"/>
        <c:noMultiLvlLbl val="1"/>
      </c:catAx>
      <c:valAx>
        <c:axId val="19652394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c:spPr>
  <c:txPr>
    <a:bodyPr/>
    <a:lstStyle/>
    <a:p>
      <a:pPr>
        <a:defRPr/>
      </a:pPr>
      <a:endParaRPr lang="en-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P"/>
        </a:p>
      </c:txPr>
    </c:title>
    <c:autoTitleDeleted val="0"/>
    <c:plotArea>
      <c:layout/>
      <c:lineChart>
        <c:grouping val="standard"/>
        <c:varyColors val="0"/>
        <c:ser>
          <c:idx val="0"/>
          <c:order val="0"/>
          <c:tx>
            <c:v>Sleep Efficiency for Week 5</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 5'!$F$19:$L$19</c:f>
              <c:numCache>
                <c:formatCode>m/d/yy;@</c:formatCode>
                <c:ptCount val="7"/>
              </c:numCache>
            </c:numRef>
          </c:cat>
          <c:val>
            <c:numRef>
              <c:f>'Week 5'!$F$34:$L$34</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40E2-5B41-8CF0-91788ADFBBBC}"/>
            </c:ext>
          </c:extLst>
        </c:ser>
        <c:ser>
          <c:idx val="1"/>
          <c:order val="1"/>
          <c:tx>
            <c:v>Goal</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'Week 5'!$F$19:$L$19</c:f>
              <c:numCache>
                <c:formatCode>m/d/yy;@</c:formatCode>
                <c:ptCount val="7"/>
              </c:numCache>
            </c:numRef>
          </c:cat>
          <c:val>
            <c:numRef>
              <c:f>'Week 1'!$F$15:$L$15</c:f>
            </c:numRef>
          </c:val>
          <c:smooth val="0"/>
          <c:extLst>
            <c:ext xmlns:c16="http://schemas.microsoft.com/office/drawing/2014/chart" uri="{C3380CC4-5D6E-409C-BE32-E72D297353CC}">
              <c16:uniqueId val="{00000001-40E2-5B41-8CF0-91788ADFBBBC}"/>
            </c:ext>
          </c:extLst>
        </c:ser>
        <c:dLbls>
          <c:showLegendKey val="0"/>
          <c:showVal val="0"/>
          <c:showCatName val="0"/>
          <c:showSerName val="0"/>
          <c:showPercent val="0"/>
          <c:showBubbleSize val="0"/>
        </c:dLbls>
        <c:smooth val="0"/>
        <c:axId val="1965237744"/>
        <c:axId val="1965239440"/>
      </c:lineChart>
      <c:catAx>
        <c:axId val="1965237744"/>
        <c:scaling>
          <c:orientation val="minMax"/>
        </c:scaling>
        <c:delete val="0"/>
        <c:axPos val="b"/>
        <c:numFmt formatCode="m/d/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9440"/>
        <c:crosses val="autoZero"/>
        <c:auto val="1"/>
        <c:lblAlgn val="ctr"/>
        <c:lblOffset val="100"/>
        <c:noMultiLvlLbl val="1"/>
      </c:catAx>
      <c:valAx>
        <c:axId val="19652394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c:spPr>
  <c:txPr>
    <a:bodyPr/>
    <a:lstStyle/>
    <a:p>
      <a:pPr>
        <a:defRPr/>
      </a:pPr>
      <a:endParaRPr lang="en-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JP"/>
        </a:p>
      </c:txPr>
    </c:title>
    <c:autoTitleDeleted val="0"/>
    <c:plotArea>
      <c:layout/>
      <c:lineChart>
        <c:grouping val="standard"/>
        <c:varyColors val="0"/>
        <c:ser>
          <c:idx val="0"/>
          <c:order val="0"/>
          <c:tx>
            <c:v>Sleep Efficiency for Week 6</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 6'!$F$19:$L$19</c:f>
              <c:numCache>
                <c:formatCode>m/d/yy;@</c:formatCode>
                <c:ptCount val="7"/>
              </c:numCache>
            </c:numRef>
          </c:cat>
          <c:val>
            <c:numRef>
              <c:f>'Week 6'!$F$34:$L$34</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B82A-7F4F-A22A-64DE597AD704}"/>
            </c:ext>
          </c:extLst>
        </c:ser>
        <c:ser>
          <c:idx val="1"/>
          <c:order val="1"/>
          <c:tx>
            <c:v>Goal</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'Week 6'!$F$19:$L$19</c:f>
              <c:numCache>
                <c:formatCode>m/d/yy;@</c:formatCode>
                <c:ptCount val="7"/>
              </c:numCache>
            </c:numRef>
          </c:cat>
          <c:val>
            <c:numRef>
              <c:f>'Week 1'!$F$15:$L$15</c:f>
            </c:numRef>
          </c:val>
          <c:smooth val="0"/>
          <c:extLst>
            <c:ext xmlns:c16="http://schemas.microsoft.com/office/drawing/2014/chart" uri="{C3380CC4-5D6E-409C-BE32-E72D297353CC}">
              <c16:uniqueId val="{00000001-B82A-7F4F-A22A-64DE597AD704}"/>
            </c:ext>
          </c:extLst>
        </c:ser>
        <c:dLbls>
          <c:showLegendKey val="0"/>
          <c:showVal val="0"/>
          <c:showCatName val="0"/>
          <c:showSerName val="0"/>
          <c:showPercent val="0"/>
          <c:showBubbleSize val="0"/>
        </c:dLbls>
        <c:smooth val="0"/>
        <c:axId val="1965237744"/>
        <c:axId val="1965239440"/>
      </c:lineChart>
      <c:catAx>
        <c:axId val="1965237744"/>
        <c:scaling>
          <c:orientation val="minMax"/>
        </c:scaling>
        <c:delete val="0"/>
        <c:axPos val="b"/>
        <c:numFmt formatCode="m/d/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9440"/>
        <c:crosses val="autoZero"/>
        <c:auto val="1"/>
        <c:lblAlgn val="ctr"/>
        <c:lblOffset val="100"/>
        <c:noMultiLvlLbl val="0"/>
      </c:catAx>
      <c:valAx>
        <c:axId val="196523944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JP"/>
          </a:p>
        </c:txPr>
        <c:crossAx val="196523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139912</xdr:colOff>
      <xdr:row>0</xdr:row>
      <xdr:rowOff>66675</xdr:rowOff>
    </xdr:from>
    <xdr:to>
      <xdr:col>3</xdr:col>
      <xdr:colOff>520700</xdr:colOff>
      <xdr:row>0</xdr:row>
      <xdr:rowOff>1349375</xdr:rowOff>
    </xdr:to>
    <xdr:pic>
      <xdr:nvPicPr>
        <xdr:cNvPr id="3" name="Picture 2">
          <a:extLst>
            <a:ext uri="{FF2B5EF4-FFF2-40B4-BE49-F238E27FC236}">
              <a16:creationId xmlns:a16="http://schemas.microsoft.com/office/drawing/2014/main" id="{4AA553ED-A193-7543-8D49-38180C0AD3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8587" y="66675"/>
          <a:ext cx="1695238" cy="1282700"/>
        </a:xfrm>
        <a:prstGeom prst="rect">
          <a:avLst/>
        </a:prstGeom>
      </xdr:spPr>
    </xdr:pic>
    <xdr:clientData/>
  </xdr:twoCellAnchor>
  <xdr:twoCellAnchor>
    <xdr:from>
      <xdr:col>3</xdr:col>
      <xdr:colOff>114300</xdr:colOff>
      <xdr:row>14</xdr:row>
      <xdr:rowOff>73025</xdr:rowOff>
    </xdr:from>
    <xdr:to>
      <xdr:col>3</xdr:col>
      <xdr:colOff>238125</xdr:colOff>
      <xdr:row>14</xdr:row>
      <xdr:rowOff>226875</xdr:rowOff>
    </xdr:to>
    <xdr:sp macro="" textlink="">
      <xdr:nvSpPr>
        <xdr:cNvPr id="5" name="Rectangle 4">
          <a:extLst>
            <a:ext uri="{FF2B5EF4-FFF2-40B4-BE49-F238E27FC236}">
              <a16:creationId xmlns:a16="http://schemas.microsoft.com/office/drawing/2014/main" id="{EEA0DAA8-01BA-4174-A4F0-544FDB318F7B}"/>
            </a:ext>
          </a:extLst>
        </xdr:cNvPr>
        <xdr:cNvSpPr/>
      </xdr:nvSpPr>
      <xdr:spPr>
        <a:xfrm>
          <a:off x="2257425" y="4502150"/>
          <a:ext cx="123825" cy="153850"/>
        </a:xfrm>
        <a:prstGeom prst="rect">
          <a:avLst/>
        </a:prstGeom>
        <a:solidFill>
          <a:schemeClr val="bg1">
            <a:lumMod val="85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29718</xdr:colOff>
      <xdr:row>21</xdr:row>
      <xdr:rowOff>0</xdr:rowOff>
    </xdr:from>
    <xdr:to>
      <xdr:col>12</xdr:col>
      <xdr:colOff>0</xdr:colOff>
      <xdr:row>30</xdr:row>
      <xdr:rowOff>0</xdr:rowOff>
    </xdr:to>
    <xdr:graphicFrame macro="">
      <xdr:nvGraphicFramePr>
        <xdr:cNvPr id="3" name="Chart 2">
          <a:extLst>
            <a:ext uri="{FF2B5EF4-FFF2-40B4-BE49-F238E27FC236}">
              <a16:creationId xmlns:a16="http://schemas.microsoft.com/office/drawing/2014/main" id="{1E60C7C3-FEAE-8C49-BB9D-F9111C697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6362700</xdr:colOff>
      <xdr:row>3</xdr:row>
      <xdr:rowOff>19050</xdr:rowOff>
    </xdr:from>
    <xdr:to>
      <xdr:col>4</xdr:col>
      <xdr:colOff>0</xdr:colOff>
      <xdr:row>3</xdr:row>
      <xdr:rowOff>182425</xdr:rowOff>
    </xdr:to>
    <xdr:sp macro="" textlink="">
      <xdr:nvSpPr>
        <xdr:cNvPr id="2" name="Rectangle 1">
          <a:extLst>
            <a:ext uri="{FF2B5EF4-FFF2-40B4-BE49-F238E27FC236}">
              <a16:creationId xmlns:a16="http://schemas.microsoft.com/office/drawing/2014/main" id="{0A070EE7-5A7B-4104-A673-021CB1315A00}"/>
            </a:ext>
          </a:extLst>
        </xdr:cNvPr>
        <xdr:cNvSpPr/>
      </xdr:nvSpPr>
      <xdr:spPr>
        <a:xfrm>
          <a:off x="8382000" y="809625"/>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4</xdr:row>
      <xdr:rowOff>0</xdr:rowOff>
    </xdr:from>
    <xdr:to>
      <xdr:col>4</xdr:col>
      <xdr:colOff>0</xdr:colOff>
      <xdr:row>4</xdr:row>
      <xdr:rowOff>163375</xdr:rowOff>
    </xdr:to>
    <xdr:sp macro="" textlink="">
      <xdr:nvSpPr>
        <xdr:cNvPr id="19" name="Rectangle 18">
          <a:extLst>
            <a:ext uri="{FF2B5EF4-FFF2-40B4-BE49-F238E27FC236}">
              <a16:creationId xmlns:a16="http://schemas.microsoft.com/office/drawing/2014/main" id="{477A23BD-5FE4-48E6-B2A5-5C86C0A478DF}"/>
            </a:ext>
          </a:extLst>
        </xdr:cNvPr>
        <xdr:cNvSpPr/>
      </xdr:nvSpPr>
      <xdr:spPr>
        <a:xfrm>
          <a:off x="8049912" y="10858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5</xdr:row>
      <xdr:rowOff>0</xdr:rowOff>
    </xdr:from>
    <xdr:to>
      <xdr:col>4</xdr:col>
      <xdr:colOff>0</xdr:colOff>
      <xdr:row>5</xdr:row>
      <xdr:rowOff>163375</xdr:rowOff>
    </xdr:to>
    <xdr:sp macro="" textlink="">
      <xdr:nvSpPr>
        <xdr:cNvPr id="23" name="Rectangle 22">
          <a:extLst>
            <a:ext uri="{FF2B5EF4-FFF2-40B4-BE49-F238E27FC236}">
              <a16:creationId xmlns:a16="http://schemas.microsoft.com/office/drawing/2014/main" id="{EFD89B29-CCFB-4B12-B732-FB35766875E1}"/>
            </a:ext>
          </a:extLst>
        </xdr:cNvPr>
        <xdr:cNvSpPr/>
      </xdr:nvSpPr>
      <xdr:spPr>
        <a:xfrm>
          <a:off x="8049912" y="14001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6</xdr:row>
      <xdr:rowOff>1029</xdr:rowOff>
    </xdr:from>
    <xdr:to>
      <xdr:col>4</xdr:col>
      <xdr:colOff>0</xdr:colOff>
      <xdr:row>6</xdr:row>
      <xdr:rowOff>163375</xdr:rowOff>
    </xdr:to>
    <xdr:sp macro="" textlink="">
      <xdr:nvSpPr>
        <xdr:cNvPr id="25" name="Rectangle 24">
          <a:extLst>
            <a:ext uri="{FF2B5EF4-FFF2-40B4-BE49-F238E27FC236}">
              <a16:creationId xmlns:a16="http://schemas.microsoft.com/office/drawing/2014/main" id="{CB161DEC-89B2-49F3-BC17-557E731A218C}"/>
            </a:ext>
          </a:extLst>
        </xdr:cNvPr>
        <xdr:cNvSpPr/>
      </xdr:nvSpPr>
      <xdr:spPr>
        <a:xfrm>
          <a:off x="8049912" y="1715529"/>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7</xdr:row>
      <xdr:rowOff>0</xdr:rowOff>
    </xdr:from>
    <xdr:to>
      <xdr:col>4</xdr:col>
      <xdr:colOff>0</xdr:colOff>
      <xdr:row>7</xdr:row>
      <xdr:rowOff>163375</xdr:rowOff>
    </xdr:to>
    <xdr:sp macro="" textlink="">
      <xdr:nvSpPr>
        <xdr:cNvPr id="26" name="Rectangle 25">
          <a:extLst>
            <a:ext uri="{FF2B5EF4-FFF2-40B4-BE49-F238E27FC236}">
              <a16:creationId xmlns:a16="http://schemas.microsoft.com/office/drawing/2014/main" id="{9694A74B-D84A-4ED8-B3BF-DB4AF5D4ABF4}"/>
            </a:ext>
          </a:extLst>
        </xdr:cNvPr>
        <xdr:cNvSpPr/>
      </xdr:nvSpPr>
      <xdr:spPr>
        <a:xfrm>
          <a:off x="8049912" y="20288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8</xdr:row>
      <xdr:rowOff>0</xdr:rowOff>
    </xdr:from>
    <xdr:to>
      <xdr:col>4</xdr:col>
      <xdr:colOff>0</xdr:colOff>
      <xdr:row>8</xdr:row>
      <xdr:rowOff>163375</xdr:rowOff>
    </xdr:to>
    <xdr:sp macro="" textlink="">
      <xdr:nvSpPr>
        <xdr:cNvPr id="27" name="Rectangle 26">
          <a:extLst>
            <a:ext uri="{FF2B5EF4-FFF2-40B4-BE49-F238E27FC236}">
              <a16:creationId xmlns:a16="http://schemas.microsoft.com/office/drawing/2014/main" id="{BA12AE15-85D3-46BE-A09E-989CABCDCAA1}"/>
            </a:ext>
          </a:extLst>
        </xdr:cNvPr>
        <xdr:cNvSpPr/>
      </xdr:nvSpPr>
      <xdr:spPr>
        <a:xfrm>
          <a:off x="8049912" y="23431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9</xdr:row>
      <xdr:rowOff>0</xdr:rowOff>
    </xdr:from>
    <xdr:to>
      <xdr:col>4</xdr:col>
      <xdr:colOff>0</xdr:colOff>
      <xdr:row>9</xdr:row>
      <xdr:rowOff>163375</xdr:rowOff>
    </xdr:to>
    <xdr:sp macro="" textlink="">
      <xdr:nvSpPr>
        <xdr:cNvPr id="28" name="Rectangle 27">
          <a:extLst>
            <a:ext uri="{FF2B5EF4-FFF2-40B4-BE49-F238E27FC236}">
              <a16:creationId xmlns:a16="http://schemas.microsoft.com/office/drawing/2014/main" id="{B7ECD7D9-9FEE-49D0-8E9B-2A9CA12EA4CA}"/>
            </a:ext>
          </a:extLst>
        </xdr:cNvPr>
        <xdr:cNvSpPr/>
      </xdr:nvSpPr>
      <xdr:spPr>
        <a:xfrm>
          <a:off x="8049912" y="26574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10</xdr:row>
      <xdr:rowOff>1029</xdr:rowOff>
    </xdr:from>
    <xdr:to>
      <xdr:col>4</xdr:col>
      <xdr:colOff>0</xdr:colOff>
      <xdr:row>10</xdr:row>
      <xdr:rowOff>163375</xdr:rowOff>
    </xdr:to>
    <xdr:sp macro="" textlink="">
      <xdr:nvSpPr>
        <xdr:cNvPr id="29" name="Rectangle 28">
          <a:extLst>
            <a:ext uri="{FF2B5EF4-FFF2-40B4-BE49-F238E27FC236}">
              <a16:creationId xmlns:a16="http://schemas.microsoft.com/office/drawing/2014/main" id="{BA63F5C7-F0C7-4CFB-9FC1-1903ED41262A}"/>
            </a:ext>
          </a:extLst>
        </xdr:cNvPr>
        <xdr:cNvSpPr/>
      </xdr:nvSpPr>
      <xdr:spPr>
        <a:xfrm>
          <a:off x="8049912" y="2972829"/>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11</xdr:row>
      <xdr:rowOff>0</xdr:rowOff>
    </xdr:from>
    <xdr:to>
      <xdr:col>4</xdr:col>
      <xdr:colOff>0</xdr:colOff>
      <xdr:row>11</xdr:row>
      <xdr:rowOff>163375</xdr:rowOff>
    </xdr:to>
    <xdr:sp macro="" textlink="">
      <xdr:nvSpPr>
        <xdr:cNvPr id="30" name="Rectangle 29">
          <a:extLst>
            <a:ext uri="{FF2B5EF4-FFF2-40B4-BE49-F238E27FC236}">
              <a16:creationId xmlns:a16="http://schemas.microsoft.com/office/drawing/2014/main" id="{3D78A84C-7900-42DD-ACA0-761AD7917C3E}"/>
            </a:ext>
          </a:extLst>
        </xdr:cNvPr>
        <xdr:cNvSpPr/>
      </xdr:nvSpPr>
      <xdr:spPr>
        <a:xfrm>
          <a:off x="8049912" y="32861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12</xdr:row>
      <xdr:rowOff>0</xdr:rowOff>
    </xdr:from>
    <xdr:to>
      <xdr:col>4</xdr:col>
      <xdr:colOff>0</xdr:colOff>
      <xdr:row>12</xdr:row>
      <xdr:rowOff>163375</xdr:rowOff>
    </xdr:to>
    <xdr:sp macro="" textlink="">
      <xdr:nvSpPr>
        <xdr:cNvPr id="31" name="Rectangle 30">
          <a:extLst>
            <a:ext uri="{FF2B5EF4-FFF2-40B4-BE49-F238E27FC236}">
              <a16:creationId xmlns:a16="http://schemas.microsoft.com/office/drawing/2014/main" id="{202AB344-C1D1-4266-B9C4-ACFE20D21037}"/>
            </a:ext>
          </a:extLst>
        </xdr:cNvPr>
        <xdr:cNvSpPr/>
      </xdr:nvSpPr>
      <xdr:spPr>
        <a:xfrm>
          <a:off x="8049912" y="36004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13</xdr:row>
      <xdr:rowOff>0</xdr:rowOff>
    </xdr:from>
    <xdr:to>
      <xdr:col>4</xdr:col>
      <xdr:colOff>0</xdr:colOff>
      <xdr:row>13</xdr:row>
      <xdr:rowOff>163375</xdr:rowOff>
    </xdr:to>
    <xdr:sp macro="" textlink="">
      <xdr:nvSpPr>
        <xdr:cNvPr id="32" name="Rectangle 31">
          <a:extLst>
            <a:ext uri="{FF2B5EF4-FFF2-40B4-BE49-F238E27FC236}">
              <a16:creationId xmlns:a16="http://schemas.microsoft.com/office/drawing/2014/main" id="{1A0D5F5E-F42C-4643-9803-1A96E6F481CC}"/>
            </a:ext>
          </a:extLst>
        </xdr:cNvPr>
        <xdr:cNvSpPr/>
      </xdr:nvSpPr>
      <xdr:spPr>
        <a:xfrm>
          <a:off x="8049912" y="39147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800100</xdr:colOff>
      <xdr:row>4</xdr:row>
      <xdr:rowOff>0</xdr:rowOff>
    </xdr:from>
    <xdr:to>
      <xdr:col>5</xdr:col>
      <xdr:colOff>0</xdr:colOff>
      <xdr:row>4</xdr:row>
      <xdr:rowOff>163375</xdr:rowOff>
    </xdr:to>
    <xdr:sp macro="" textlink="">
      <xdr:nvSpPr>
        <xdr:cNvPr id="37" name="Rectangle 36">
          <a:extLst>
            <a:ext uri="{FF2B5EF4-FFF2-40B4-BE49-F238E27FC236}">
              <a16:creationId xmlns:a16="http://schemas.microsoft.com/office/drawing/2014/main" id="{F46FEF15-9850-494A-91E0-02A0B55EFDB9}"/>
            </a:ext>
          </a:extLst>
        </xdr:cNvPr>
        <xdr:cNvSpPr/>
      </xdr:nvSpPr>
      <xdr:spPr>
        <a:xfrm>
          <a:off x="9010650" y="1085850"/>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800100</xdr:colOff>
      <xdr:row>5</xdr:row>
      <xdr:rowOff>0</xdr:rowOff>
    </xdr:from>
    <xdr:to>
      <xdr:col>5</xdr:col>
      <xdr:colOff>0</xdr:colOff>
      <xdr:row>5</xdr:row>
      <xdr:rowOff>163375</xdr:rowOff>
    </xdr:to>
    <xdr:sp macro="" textlink="">
      <xdr:nvSpPr>
        <xdr:cNvPr id="38" name="Rectangle 37">
          <a:extLst>
            <a:ext uri="{FF2B5EF4-FFF2-40B4-BE49-F238E27FC236}">
              <a16:creationId xmlns:a16="http://schemas.microsoft.com/office/drawing/2014/main" id="{BC1D50D3-4187-414C-B0E8-4E32B1BD9C34}"/>
            </a:ext>
          </a:extLst>
        </xdr:cNvPr>
        <xdr:cNvSpPr/>
      </xdr:nvSpPr>
      <xdr:spPr>
        <a:xfrm>
          <a:off x="9010650" y="1400175"/>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editAs="oneCell">
    <xdr:from>
      <xdr:col>1</xdr:col>
      <xdr:colOff>200025</xdr:colOff>
      <xdr:row>0</xdr:row>
      <xdr:rowOff>85725</xdr:rowOff>
    </xdr:from>
    <xdr:to>
      <xdr:col>3</xdr:col>
      <xdr:colOff>698288</xdr:colOff>
      <xdr:row>0</xdr:row>
      <xdr:rowOff>1368425</xdr:rowOff>
    </xdr:to>
    <xdr:pic>
      <xdr:nvPicPr>
        <xdr:cNvPr id="40" name="Picture 39">
          <a:extLst>
            <a:ext uri="{FF2B5EF4-FFF2-40B4-BE49-F238E27FC236}">
              <a16:creationId xmlns:a16="http://schemas.microsoft.com/office/drawing/2014/main" id="{33F9E68F-F89E-4A4B-8286-39F1E0B4D7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700" y="85725"/>
          <a:ext cx="1688888" cy="1282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30</xdr:row>
      <xdr:rowOff>0</xdr:rowOff>
    </xdr:from>
    <xdr:to>
      <xdr:col>12</xdr:col>
      <xdr:colOff>0</xdr:colOff>
      <xdr:row>39</xdr:row>
      <xdr:rowOff>0</xdr:rowOff>
    </xdr:to>
    <xdr:graphicFrame macro="">
      <xdr:nvGraphicFramePr>
        <xdr:cNvPr id="2" name="Chart 1">
          <a:extLst>
            <a:ext uri="{FF2B5EF4-FFF2-40B4-BE49-F238E27FC236}">
              <a16:creationId xmlns:a16="http://schemas.microsoft.com/office/drawing/2014/main" id="{AF1D1419-68F3-1146-B912-63CC5CE43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123825</xdr:colOff>
      <xdr:row>0</xdr:row>
      <xdr:rowOff>66675</xdr:rowOff>
    </xdr:from>
    <xdr:to>
      <xdr:col>3</xdr:col>
      <xdr:colOff>688763</xdr:colOff>
      <xdr:row>0</xdr:row>
      <xdr:rowOff>1349375</xdr:rowOff>
    </xdr:to>
    <xdr:pic>
      <xdr:nvPicPr>
        <xdr:cNvPr id="3" name="Picture 2">
          <a:extLst>
            <a:ext uri="{FF2B5EF4-FFF2-40B4-BE49-F238E27FC236}">
              <a16:creationId xmlns:a16="http://schemas.microsoft.com/office/drawing/2014/main" id="{4A2174F2-A4B5-4D1C-B134-A1BDF2E908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0" y="66675"/>
          <a:ext cx="1688888" cy="1282700"/>
        </a:xfrm>
        <a:prstGeom prst="rect">
          <a:avLst/>
        </a:prstGeom>
      </xdr:spPr>
    </xdr:pic>
    <xdr:clientData/>
  </xdr:twoCellAnchor>
  <xdr:twoCellAnchor>
    <xdr:from>
      <xdr:col>3</xdr:col>
      <xdr:colOff>6362700</xdr:colOff>
      <xdr:row>12</xdr:row>
      <xdr:rowOff>19050</xdr:rowOff>
    </xdr:from>
    <xdr:to>
      <xdr:col>4</xdr:col>
      <xdr:colOff>0</xdr:colOff>
      <xdr:row>12</xdr:row>
      <xdr:rowOff>182425</xdr:rowOff>
    </xdr:to>
    <xdr:sp macro="" textlink="">
      <xdr:nvSpPr>
        <xdr:cNvPr id="49" name="Rectangle 48">
          <a:extLst>
            <a:ext uri="{FF2B5EF4-FFF2-40B4-BE49-F238E27FC236}">
              <a16:creationId xmlns:a16="http://schemas.microsoft.com/office/drawing/2014/main" id="{088B2308-0DB7-4C91-ABAC-7BD3A39A2C88}"/>
            </a:ext>
          </a:extLst>
        </xdr:cNvPr>
        <xdr:cNvSpPr/>
      </xdr:nvSpPr>
      <xdr:spPr>
        <a:xfrm>
          <a:off x="8315325" y="4991100"/>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13</xdr:row>
      <xdr:rowOff>0</xdr:rowOff>
    </xdr:from>
    <xdr:to>
      <xdr:col>4</xdr:col>
      <xdr:colOff>0</xdr:colOff>
      <xdr:row>13</xdr:row>
      <xdr:rowOff>163375</xdr:rowOff>
    </xdr:to>
    <xdr:sp macro="" textlink="">
      <xdr:nvSpPr>
        <xdr:cNvPr id="50" name="Rectangle 49">
          <a:extLst>
            <a:ext uri="{FF2B5EF4-FFF2-40B4-BE49-F238E27FC236}">
              <a16:creationId xmlns:a16="http://schemas.microsoft.com/office/drawing/2014/main" id="{94CF5491-A814-4393-9D6F-8FE7DAC631CE}"/>
            </a:ext>
          </a:extLst>
        </xdr:cNvPr>
        <xdr:cNvSpPr/>
      </xdr:nvSpPr>
      <xdr:spPr>
        <a:xfrm>
          <a:off x="8316612" y="52863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14</xdr:row>
      <xdr:rowOff>0</xdr:rowOff>
    </xdr:from>
    <xdr:to>
      <xdr:col>4</xdr:col>
      <xdr:colOff>0</xdr:colOff>
      <xdr:row>14</xdr:row>
      <xdr:rowOff>163375</xdr:rowOff>
    </xdr:to>
    <xdr:sp macro="" textlink="">
      <xdr:nvSpPr>
        <xdr:cNvPr id="51" name="Rectangle 50">
          <a:extLst>
            <a:ext uri="{FF2B5EF4-FFF2-40B4-BE49-F238E27FC236}">
              <a16:creationId xmlns:a16="http://schemas.microsoft.com/office/drawing/2014/main" id="{C8DE0A12-6DFA-48C3-8E06-D2BA5D11A592}"/>
            </a:ext>
          </a:extLst>
        </xdr:cNvPr>
        <xdr:cNvSpPr/>
      </xdr:nvSpPr>
      <xdr:spPr>
        <a:xfrm>
          <a:off x="8316612" y="56007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15</xdr:row>
      <xdr:rowOff>1029</xdr:rowOff>
    </xdr:from>
    <xdr:to>
      <xdr:col>4</xdr:col>
      <xdr:colOff>0</xdr:colOff>
      <xdr:row>15</xdr:row>
      <xdr:rowOff>163375</xdr:rowOff>
    </xdr:to>
    <xdr:sp macro="" textlink="">
      <xdr:nvSpPr>
        <xdr:cNvPr id="52" name="Rectangle 51">
          <a:extLst>
            <a:ext uri="{FF2B5EF4-FFF2-40B4-BE49-F238E27FC236}">
              <a16:creationId xmlns:a16="http://schemas.microsoft.com/office/drawing/2014/main" id="{278CF308-F64C-4F63-AEF9-60C5B2725A45}"/>
            </a:ext>
          </a:extLst>
        </xdr:cNvPr>
        <xdr:cNvSpPr/>
      </xdr:nvSpPr>
      <xdr:spPr>
        <a:xfrm>
          <a:off x="8316612" y="591605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16</xdr:row>
      <xdr:rowOff>0</xdr:rowOff>
    </xdr:from>
    <xdr:to>
      <xdr:col>4</xdr:col>
      <xdr:colOff>0</xdr:colOff>
      <xdr:row>16</xdr:row>
      <xdr:rowOff>163375</xdr:rowOff>
    </xdr:to>
    <xdr:sp macro="" textlink="">
      <xdr:nvSpPr>
        <xdr:cNvPr id="53" name="Rectangle 52">
          <a:extLst>
            <a:ext uri="{FF2B5EF4-FFF2-40B4-BE49-F238E27FC236}">
              <a16:creationId xmlns:a16="http://schemas.microsoft.com/office/drawing/2014/main" id="{2AF72A7E-6DC5-4C51-A508-F93535014CC1}"/>
            </a:ext>
          </a:extLst>
        </xdr:cNvPr>
        <xdr:cNvSpPr/>
      </xdr:nvSpPr>
      <xdr:spPr>
        <a:xfrm>
          <a:off x="8316612" y="62293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17</xdr:row>
      <xdr:rowOff>0</xdr:rowOff>
    </xdr:from>
    <xdr:to>
      <xdr:col>4</xdr:col>
      <xdr:colOff>0</xdr:colOff>
      <xdr:row>17</xdr:row>
      <xdr:rowOff>163375</xdr:rowOff>
    </xdr:to>
    <xdr:sp macro="" textlink="">
      <xdr:nvSpPr>
        <xdr:cNvPr id="54" name="Rectangle 53">
          <a:extLst>
            <a:ext uri="{FF2B5EF4-FFF2-40B4-BE49-F238E27FC236}">
              <a16:creationId xmlns:a16="http://schemas.microsoft.com/office/drawing/2014/main" id="{1BB08448-297C-44B0-BFFC-2EB14D1DBD58}"/>
            </a:ext>
          </a:extLst>
        </xdr:cNvPr>
        <xdr:cNvSpPr/>
      </xdr:nvSpPr>
      <xdr:spPr>
        <a:xfrm>
          <a:off x="8316612" y="65436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18</xdr:row>
      <xdr:rowOff>0</xdr:rowOff>
    </xdr:from>
    <xdr:to>
      <xdr:col>4</xdr:col>
      <xdr:colOff>0</xdr:colOff>
      <xdr:row>18</xdr:row>
      <xdr:rowOff>163375</xdr:rowOff>
    </xdr:to>
    <xdr:sp macro="" textlink="">
      <xdr:nvSpPr>
        <xdr:cNvPr id="55" name="Rectangle 54">
          <a:extLst>
            <a:ext uri="{FF2B5EF4-FFF2-40B4-BE49-F238E27FC236}">
              <a16:creationId xmlns:a16="http://schemas.microsoft.com/office/drawing/2014/main" id="{24EB0E30-C1B6-4963-AAE1-0647EF3257AA}"/>
            </a:ext>
          </a:extLst>
        </xdr:cNvPr>
        <xdr:cNvSpPr/>
      </xdr:nvSpPr>
      <xdr:spPr>
        <a:xfrm>
          <a:off x="8316612" y="68580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19</xdr:row>
      <xdr:rowOff>1029</xdr:rowOff>
    </xdr:from>
    <xdr:to>
      <xdr:col>4</xdr:col>
      <xdr:colOff>0</xdr:colOff>
      <xdr:row>19</xdr:row>
      <xdr:rowOff>163375</xdr:rowOff>
    </xdr:to>
    <xdr:sp macro="" textlink="">
      <xdr:nvSpPr>
        <xdr:cNvPr id="56" name="Rectangle 55">
          <a:extLst>
            <a:ext uri="{FF2B5EF4-FFF2-40B4-BE49-F238E27FC236}">
              <a16:creationId xmlns:a16="http://schemas.microsoft.com/office/drawing/2014/main" id="{EA2423FA-0C21-495D-B0DB-709EA2DB8990}"/>
            </a:ext>
          </a:extLst>
        </xdr:cNvPr>
        <xdr:cNvSpPr/>
      </xdr:nvSpPr>
      <xdr:spPr>
        <a:xfrm>
          <a:off x="8316612" y="717335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20</xdr:row>
      <xdr:rowOff>0</xdr:rowOff>
    </xdr:from>
    <xdr:to>
      <xdr:col>4</xdr:col>
      <xdr:colOff>0</xdr:colOff>
      <xdr:row>20</xdr:row>
      <xdr:rowOff>163375</xdr:rowOff>
    </xdr:to>
    <xdr:sp macro="" textlink="">
      <xdr:nvSpPr>
        <xdr:cNvPr id="57" name="Rectangle 56">
          <a:extLst>
            <a:ext uri="{FF2B5EF4-FFF2-40B4-BE49-F238E27FC236}">
              <a16:creationId xmlns:a16="http://schemas.microsoft.com/office/drawing/2014/main" id="{E052129E-7392-4ECA-8812-A0B17D8F72C0}"/>
            </a:ext>
          </a:extLst>
        </xdr:cNvPr>
        <xdr:cNvSpPr/>
      </xdr:nvSpPr>
      <xdr:spPr>
        <a:xfrm>
          <a:off x="8316612" y="74866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21</xdr:row>
      <xdr:rowOff>0</xdr:rowOff>
    </xdr:from>
    <xdr:to>
      <xdr:col>4</xdr:col>
      <xdr:colOff>0</xdr:colOff>
      <xdr:row>21</xdr:row>
      <xdr:rowOff>163375</xdr:rowOff>
    </xdr:to>
    <xdr:sp macro="" textlink="">
      <xdr:nvSpPr>
        <xdr:cNvPr id="58" name="Rectangle 57">
          <a:extLst>
            <a:ext uri="{FF2B5EF4-FFF2-40B4-BE49-F238E27FC236}">
              <a16:creationId xmlns:a16="http://schemas.microsoft.com/office/drawing/2014/main" id="{D7045A5E-4138-4370-AD42-FDC291D8C745}"/>
            </a:ext>
          </a:extLst>
        </xdr:cNvPr>
        <xdr:cNvSpPr/>
      </xdr:nvSpPr>
      <xdr:spPr>
        <a:xfrm>
          <a:off x="8316612" y="78009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22</xdr:row>
      <xdr:rowOff>0</xdr:rowOff>
    </xdr:from>
    <xdr:to>
      <xdr:col>4</xdr:col>
      <xdr:colOff>0</xdr:colOff>
      <xdr:row>22</xdr:row>
      <xdr:rowOff>163375</xdr:rowOff>
    </xdr:to>
    <xdr:sp macro="" textlink="">
      <xdr:nvSpPr>
        <xdr:cNvPr id="59" name="Rectangle 58">
          <a:extLst>
            <a:ext uri="{FF2B5EF4-FFF2-40B4-BE49-F238E27FC236}">
              <a16:creationId xmlns:a16="http://schemas.microsoft.com/office/drawing/2014/main" id="{D7FE38F1-D8F5-4AF6-93B7-7B4B6B6F47D9}"/>
            </a:ext>
          </a:extLst>
        </xdr:cNvPr>
        <xdr:cNvSpPr/>
      </xdr:nvSpPr>
      <xdr:spPr>
        <a:xfrm>
          <a:off x="8316612" y="81153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801387</xdr:colOff>
      <xdr:row>13</xdr:row>
      <xdr:rowOff>0</xdr:rowOff>
    </xdr:from>
    <xdr:to>
      <xdr:col>5</xdr:col>
      <xdr:colOff>0</xdr:colOff>
      <xdr:row>13</xdr:row>
      <xdr:rowOff>163375</xdr:rowOff>
    </xdr:to>
    <xdr:sp macro="" textlink="">
      <xdr:nvSpPr>
        <xdr:cNvPr id="62" name="Rectangle 61">
          <a:extLst>
            <a:ext uri="{FF2B5EF4-FFF2-40B4-BE49-F238E27FC236}">
              <a16:creationId xmlns:a16="http://schemas.microsoft.com/office/drawing/2014/main" id="{0E3DF496-F0F7-4EB9-9F0B-2527745708E2}"/>
            </a:ext>
          </a:extLst>
        </xdr:cNvPr>
        <xdr:cNvSpPr/>
      </xdr:nvSpPr>
      <xdr:spPr>
        <a:xfrm>
          <a:off x="9278637" y="52863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801387</xdr:colOff>
      <xdr:row>14</xdr:row>
      <xdr:rowOff>0</xdr:rowOff>
    </xdr:from>
    <xdr:to>
      <xdr:col>5</xdr:col>
      <xdr:colOff>0</xdr:colOff>
      <xdr:row>14</xdr:row>
      <xdr:rowOff>163375</xdr:rowOff>
    </xdr:to>
    <xdr:sp macro="" textlink="">
      <xdr:nvSpPr>
        <xdr:cNvPr id="63" name="Rectangle 62">
          <a:extLst>
            <a:ext uri="{FF2B5EF4-FFF2-40B4-BE49-F238E27FC236}">
              <a16:creationId xmlns:a16="http://schemas.microsoft.com/office/drawing/2014/main" id="{20CC2304-20E0-4606-A0B8-E21EA6BF987D}"/>
            </a:ext>
          </a:extLst>
        </xdr:cNvPr>
        <xdr:cNvSpPr/>
      </xdr:nvSpPr>
      <xdr:spPr>
        <a:xfrm>
          <a:off x="9278637" y="56007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36</xdr:row>
      <xdr:rowOff>0</xdr:rowOff>
    </xdr:from>
    <xdr:to>
      <xdr:col>12</xdr:col>
      <xdr:colOff>0</xdr:colOff>
      <xdr:row>45</xdr:row>
      <xdr:rowOff>0</xdr:rowOff>
    </xdr:to>
    <xdr:graphicFrame macro="">
      <xdr:nvGraphicFramePr>
        <xdr:cNvPr id="2" name="Chart 1">
          <a:extLst>
            <a:ext uri="{FF2B5EF4-FFF2-40B4-BE49-F238E27FC236}">
              <a16:creationId xmlns:a16="http://schemas.microsoft.com/office/drawing/2014/main" id="{22B501DA-8663-9848-B9CA-1BBDAD7D0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161925</xdr:colOff>
      <xdr:row>0</xdr:row>
      <xdr:rowOff>76200</xdr:rowOff>
    </xdr:from>
    <xdr:to>
      <xdr:col>3</xdr:col>
      <xdr:colOff>726863</xdr:colOff>
      <xdr:row>0</xdr:row>
      <xdr:rowOff>1358900</xdr:rowOff>
    </xdr:to>
    <xdr:pic>
      <xdr:nvPicPr>
        <xdr:cNvPr id="3" name="Picture 2">
          <a:extLst>
            <a:ext uri="{FF2B5EF4-FFF2-40B4-BE49-F238E27FC236}">
              <a16:creationId xmlns:a16="http://schemas.microsoft.com/office/drawing/2014/main" id="{554FA09F-31DB-4F34-A0D5-9ABE77E3DC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 y="76200"/>
          <a:ext cx="1688888" cy="1282700"/>
        </a:xfrm>
        <a:prstGeom prst="rect">
          <a:avLst/>
        </a:prstGeom>
      </xdr:spPr>
    </xdr:pic>
    <xdr:clientData/>
  </xdr:twoCellAnchor>
  <xdr:twoCellAnchor>
    <xdr:from>
      <xdr:col>3</xdr:col>
      <xdr:colOff>6362700</xdr:colOff>
      <xdr:row>18</xdr:row>
      <xdr:rowOff>19050</xdr:rowOff>
    </xdr:from>
    <xdr:to>
      <xdr:col>4</xdr:col>
      <xdr:colOff>0</xdr:colOff>
      <xdr:row>18</xdr:row>
      <xdr:rowOff>182425</xdr:rowOff>
    </xdr:to>
    <xdr:sp macro="" textlink="">
      <xdr:nvSpPr>
        <xdr:cNvPr id="4" name="Rectangle 3">
          <a:extLst>
            <a:ext uri="{FF2B5EF4-FFF2-40B4-BE49-F238E27FC236}">
              <a16:creationId xmlns:a16="http://schemas.microsoft.com/office/drawing/2014/main" id="{BA0687F4-33B2-4B8D-9614-452A4E491426}"/>
            </a:ext>
          </a:extLst>
        </xdr:cNvPr>
        <xdr:cNvSpPr/>
      </xdr:nvSpPr>
      <xdr:spPr>
        <a:xfrm>
          <a:off x="8315325" y="7829550"/>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19</xdr:row>
      <xdr:rowOff>0</xdr:rowOff>
    </xdr:from>
    <xdr:to>
      <xdr:col>4</xdr:col>
      <xdr:colOff>0</xdr:colOff>
      <xdr:row>19</xdr:row>
      <xdr:rowOff>163375</xdr:rowOff>
    </xdr:to>
    <xdr:sp macro="" textlink="">
      <xdr:nvSpPr>
        <xdr:cNvPr id="5" name="Rectangle 4">
          <a:extLst>
            <a:ext uri="{FF2B5EF4-FFF2-40B4-BE49-F238E27FC236}">
              <a16:creationId xmlns:a16="http://schemas.microsoft.com/office/drawing/2014/main" id="{2D1DE18F-DF47-4F04-B1B4-15DB56DAB189}"/>
            </a:ext>
          </a:extLst>
        </xdr:cNvPr>
        <xdr:cNvSpPr/>
      </xdr:nvSpPr>
      <xdr:spPr>
        <a:xfrm>
          <a:off x="8316612" y="81248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20</xdr:row>
      <xdr:rowOff>0</xdr:rowOff>
    </xdr:from>
    <xdr:to>
      <xdr:col>4</xdr:col>
      <xdr:colOff>0</xdr:colOff>
      <xdr:row>20</xdr:row>
      <xdr:rowOff>163375</xdr:rowOff>
    </xdr:to>
    <xdr:sp macro="" textlink="">
      <xdr:nvSpPr>
        <xdr:cNvPr id="6" name="Rectangle 5">
          <a:extLst>
            <a:ext uri="{FF2B5EF4-FFF2-40B4-BE49-F238E27FC236}">
              <a16:creationId xmlns:a16="http://schemas.microsoft.com/office/drawing/2014/main" id="{571B3FFF-B9F0-4EEA-85DD-92204D46A8A0}"/>
            </a:ext>
          </a:extLst>
        </xdr:cNvPr>
        <xdr:cNvSpPr/>
      </xdr:nvSpPr>
      <xdr:spPr>
        <a:xfrm>
          <a:off x="8316612" y="84391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21</xdr:row>
      <xdr:rowOff>1029</xdr:rowOff>
    </xdr:from>
    <xdr:to>
      <xdr:col>4</xdr:col>
      <xdr:colOff>0</xdr:colOff>
      <xdr:row>21</xdr:row>
      <xdr:rowOff>163375</xdr:rowOff>
    </xdr:to>
    <xdr:sp macro="" textlink="">
      <xdr:nvSpPr>
        <xdr:cNvPr id="7" name="Rectangle 6">
          <a:extLst>
            <a:ext uri="{FF2B5EF4-FFF2-40B4-BE49-F238E27FC236}">
              <a16:creationId xmlns:a16="http://schemas.microsoft.com/office/drawing/2014/main" id="{88E01913-C933-4400-BB57-F1C866393027}"/>
            </a:ext>
          </a:extLst>
        </xdr:cNvPr>
        <xdr:cNvSpPr/>
      </xdr:nvSpPr>
      <xdr:spPr>
        <a:xfrm>
          <a:off x="8316612" y="875450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22</xdr:row>
      <xdr:rowOff>0</xdr:rowOff>
    </xdr:from>
    <xdr:to>
      <xdr:col>4</xdr:col>
      <xdr:colOff>0</xdr:colOff>
      <xdr:row>22</xdr:row>
      <xdr:rowOff>163375</xdr:rowOff>
    </xdr:to>
    <xdr:sp macro="" textlink="">
      <xdr:nvSpPr>
        <xdr:cNvPr id="8" name="Rectangle 7">
          <a:extLst>
            <a:ext uri="{FF2B5EF4-FFF2-40B4-BE49-F238E27FC236}">
              <a16:creationId xmlns:a16="http://schemas.microsoft.com/office/drawing/2014/main" id="{AF6E1B45-E3AD-4DA1-A7B3-693560C81275}"/>
            </a:ext>
          </a:extLst>
        </xdr:cNvPr>
        <xdr:cNvSpPr/>
      </xdr:nvSpPr>
      <xdr:spPr>
        <a:xfrm>
          <a:off x="8316612" y="90678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23</xdr:row>
      <xdr:rowOff>0</xdr:rowOff>
    </xdr:from>
    <xdr:to>
      <xdr:col>4</xdr:col>
      <xdr:colOff>0</xdr:colOff>
      <xdr:row>23</xdr:row>
      <xdr:rowOff>163375</xdr:rowOff>
    </xdr:to>
    <xdr:sp macro="" textlink="">
      <xdr:nvSpPr>
        <xdr:cNvPr id="9" name="Rectangle 8">
          <a:extLst>
            <a:ext uri="{FF2B5EF4-FFF2-40B4-BE49-F238E27FC236}">
              <a16:creationId xmlns:a16="http://schemas.microsoft.com/office/drawing/2014/main" id="{B1336D61-8FA1-4013-8601-AD8D5F4F23AA}"/>
            </a:ext>
          </a:extLst>
        </xdr:cNvPr>
        <xdr:cNvSpPr/>
      </xdr:nvSpPr>
      <xdr:spPr>
        <a:xfrm>
          <a:off x="8316612" y="93821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24</xdr:row>
      <xdr:rowOff>0</xdr:rowOff>
    </xdr:from>
    <xdr:to>
      <xdr:col>4</xdr:col>
      <xdr:colOff>0</xdr:colOff>
      <xdr:row>24</xdr:row>
      <xdr:rowOff>163375</xdr:rowOff>
    </xdr:to>
    <xdr:sp macro="" textlink="">
      <xdr:nvSpPr>
        <xdr:cNvPr id="10" name="Rectangle 9">
          <a:extLst>
            <a:ext uri="{FF2B5EF4-FFF2-40B4-BE49-F238E27FC236}">
              <a16:creationId xmlns:a16="http://schemas.microsoft.com/office/drawing/2014/main" id="{8E491D5A-716C-4573-B165-57DB2F48F71F}"/>
            </a:ext>
          </a:extLst>
        </xdr:cNvPr>
        <xdr:cNvSpPr/>
      </xdr:nvSpPr>
      <xdr:spPr>
        <a:xfrm>
          <a:off x="8316612" y="96964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25</xdr:row>
      <xdr:rowOff>1029</xdr:rowOff>
    </xdr:from>
    <xdr:to>
      <xdr:col>4</xdr:col>
      <xdr:colOff>0</xdr:colOff>
      <xdr:row>25</xdr:row>
      <xdr:rowOff>163375</xdr:rowOff>
    </xdr:to>
    <xdr:sp macro="" textlink="">
      <xdr:nvSpPr>
        <xdr:cNvPr id="11" name="Rectangle 10">
          <a:extLst>
            <a:ext uri="{FF2B5EF4-FFF2-40B4-BE49-F238E27FC236}">
              <a16:creationId xmlns:a16="http://schemas.microsoft.com/office/drawing/2014/main" id="{25D9D79B-8BD4-4B2B-8942-9C0DD2AB26E4}"/>
            </a:ext>
          </a:extLst>
        </xdr:cNvPr>
        <xdr:cNvSpPr/>
      </xdr:nvSpPr>
      <xdr:spPr>
        <a:xfrm>
          <a:off x="8316612" y="1001180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26</xdr:row>
      <xdr:rowOff>0</xdr:rowOff>
    </xdr:from>
    <xdr:to>
      <xdr:col>4</xdr:col>
      <xdr:colOff>0</xdr:colOff>
      <xdr:row>26</xdr:row>
      <xdr:rowOff>163375</xdr:rowOff>
    </xdr:to>
    <xdr:sp macro="" textlink="">
      <xdr:nvSpPr>
        <xdr:cNvPr id="12" name="Rectangle 11">
          <a:extLst>
            <a:ext uri="{FF2B5EF4-FFF2-40B4-BE49-F238E27FC236}">
              <a16:creationId xmlns:a16="http://schemas.microsoft.com/office/drawing/2014/main" id="{D92508BF-6313-4D24-9A2F-0EF05C789702}"/>
            </a:ext>
          </a:extLst>
        </xdr:cNvPr>
        <xdr:cNvSpPr/>
      </xdr:nvSpPr>
      <xdr:spPr>
        <a:xfrm>
          <a:off x="8316612" y="103251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27</xdr:row>
      <xdr:rowOff>0</xdr:rowOff>
    </xdr:from>
    <xdr:to>
      <xdr:col>4</xdr:col>
      <xdr:colOff>0</xdr:colOff>
      <xdr:row>27</xdr:row>
      <xdr:rowOff>163375</xdr:rowOff>
    </xdr:to>
    <xdr:sp macro="" textlink="">
      <xdr:nvSpPr>
        <xdr:cNvPr id="13" name="Rectangle 12">
          <a:extLst>
            <a:ext uri="{FF2B5EF4-FFF2-40B4-BE49-F238E27FC236}">
              <a16:creationId xmlns:a16="http://schemas.microsoft.com/office/drawing/2014/main" id="{1F223972-DE14-4D82-B56A-05FE64C2C0DB}"/>
            </a:ext>
          </a:extLst>
        </xdr:cNvPr>
        <xdr:cNvSpPr/>
      </xdr:nvSpPr>
      <xdr:spPr>
        <a:xfrm>
          <a:off x="8316612" y="106394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28</xdr:row>
      <xdr:rowOff>0</xdr:rowOff>
    </xdr:from>
    <xdr:to>
      <xdr:col>4</xdr:col>
      <xdr:colOff>0</xdr:colOff>
      <xdr:row>28</xdr:row>
      <xdr:rowOff>163375</xdr:rowOff>
    </xdr:to>
    <xdr:sp macro="" textlink="">
      <xdr:nvSpPr>
        <xdr:cNvPr id="14" name="Rectangle 13">
          <a:extLst>
            <a:ext uri="{FF2B5EF4-FFF2-40B4-BE49-F238E27FC236}">
              <a16:creationId xmlns:a16="http://schemas.microsoft.com/office/drawing/2014/main" id="{BB7AEDA7-EC49-471F-BE4E-EA85EAA412F8}"/>
            </a:ext>
          </a:extLst>
        </xdr:cNvPr>
        <xdr:cNvSpPr/>
      </xdr:nvSpPr>
      <xdr:spPr>
        <a:xfrm>
          <a:off x="8316612" y="109537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19</xdr:row>
      <xdr:rowOff>0</xdr:rowOff>
    </xdr:from>
    <xdr:to>
      <xdr:col>5</xdr:col>
      <xdr:colOff>0</xdr:colOff>
      <xdr:row>19</xdr:row>
      <xdr:rowOff>163375</xdr:rowOff>
    </xdr:to>
    <xdr:sp macro="" textlink="">
      <xdr:nvSpPr>
        <xdr:cNvPr id="15" name="Rectangle 14">
          <a:extLst>
            <a:ext uri="{FF2B5EF4-FFF2-40B4-BE49-F238E27FC236}">
              <a16:creationId xmlns:a16="http://schemas.microsoft.com/office/drawing/2014/main" id="{983D61C9-20B0-4E4C-823F-F20DC5642243}"/>
            </a:ext>
          </a:extLst>
        </xdr:cNvPr>
        <xdr:cNvSpPr/>
      </xdr:nvSpPr>
      <xdr:spPr>
        <a:xfrm>
          <a:off x="9297687" y="81248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20</xdr:row>
      <xdr:rowOff>0</xdr:rowOff>
    </xdr:from>
    <xdr:to>
      <xdr:col>5</xdr:col>
      <xdr:colOff>0</xdr:colOff>
      <xdr:row>20</xdr:row>
      <xdr:rowOff>163375</xdr:rowOff>
    </xdr:to>
    <xdr:sp macro="" textlink="">
      <xdr:nvSpPr>
        <xdr:cNvPr id="16" name="Rectangle 15">
          <a:extLst>
            <a:ext uri="{FF2B5EF4-FFF2-40B4-BE49-F238E27FC236}">
              <a16:creationId xmlns:a16="http://schemas.microsoft.com/office/drawing/2014/main" id="{2AA9084E-3F23-43B8-8AC3-C967C8AD3EE4}"/>
            </a:ext>
          </a:extLst>
        </xdr:cNvPr>
        <xdr:cNvSpPr/>
      </xdr:nvSpPr>
      <xdr:spPr>
        <a:xfrm>
          <a:off x="9297687" y="84391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36</xdr:row>
      <xdr:rowOff>0</xdr:rowOff>
    </xdr:from>
    <xdr:to>
      <xdr:col>12</xdr:col>
      <xdr:colOff>0</xdr:colOff>
      <xdr:row>45</xdr:row>
      <xdr:rowOff>0</xdr:rowOff>
    </xdr:to>
    <xdr:graphicFrame macro="">
      <xdr:nvGraphicFramePr>
        <xdr:cNvPr id="2" name="Chart 1">
          <a:extLst>
            <a:ext uri="{FF2B5EF4-FFF2-40B4-BE49-F238E27FC236}">
              <a16:creationId xmlns:a16="http://schemas.microsoft.com/office/drawing/2014/main" id="{4D041915-9C73-7144-B9AF-5B507DB35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161925</xdr:colOff>
      <xdr:row>0</xdr:row>
      <xdr:rowOff>85725</xdr:rowOff>
    </xdr:from>
    <xdr:to>
      <xdr:col>3</xdr:col>
      <xdr:colOff>733213</xdr:colOff>
      <xdr:row>0</xdr:row>
      <xdr:rowOff>1368425</xdr:rowOff>
    </xdr:to>
    <xdr:pic>
      <xdr:nvPicPr>
        <xdr:cNvPr id="10" name="Picture 9">
          <a:extLst>
            <a:ext uri="{FF2B5EF4-FFF2-40B4-BE49-F238E27FC236}">
              <a16:creationId xmlns:a16="http://schemas.microsoft.com/office/drawing/2014/main" id="{68BAC209-9885-4D3B-9B56-22EBC3CE5A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 y="85725"/>
          <a:ext cx="1695238" cy="1282700"/>
        </a:xfrm>
        <a:prstGeom prst="rect">
          <a:avLst/>
        </a:prstGeom>
      </xdr:spPr>
    </xdr:pic>
    <xdr:clientData/>
  </xdr:twoCellAnchor>
  <xdr:twoCellAnchor>
    <xdr:from>
      <xdr:col>3</xdr:col>
      <xdr:colOff>6362700</xdr:colOff>
      <xdr:row>18</xdr:row>
      <xdr:rowOff>19050</xdr:rowOff>
    </xdr:from>
    <xdr:to>
      <xdr:col>4</xdr:col>
      <xdr:colOff>0</xdr:colOff>
      <xdr:row>18</xdr:row>
      <xdr:rowOff>182425</xdr:rowOff>
    </xdr:to>
    <xdr:sp macro="" textlink="">
      <xdr:nvSpPr>
        <xdr:cNvPr id="11" name="Rectangle 10">
          <a:extLst>
            <a:ext uri="{FF2B5EF4-FFF2-40B4-BE49-F238E27FC236}">
              <a16:creationId xmlns:a16="http://schemas.microsoft.com/office/drawing/2014/main" id="{D38DFEAC-A8A1-45A5-B8FB-25E369ABE21C}"/>
            </a:ext>
          </a:extLst>
        </xdr:cNvPr>
        <xdr:cNvSpPr/>
      </xdr:nvSpPr>
      <xdr:spPr>
        <a:xfrm>
          <a:off x="8315325" y="7639050"/>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19</xdr:row>
      <xdr:rowOff>0</xdr:rowOff>
    </xdr:from>
    <xdr:to>
      <xdr:col>4</xdr:col>
      <xdr:colOff>0</xdr:colOff>
      <xdr:row>19</xdr:row>
      <xdr:rowOff>163375</xdr:rowOff>
    </xdr:to>
    <xdr:sp macro="" textlink="">
      <xdr:nvSpPr>
        <xdr:cNvPr id="12" name="Rectangle 11">
          <a:extLst>
            <a:ext uri="{FF2B5EF4-FFF2-40B4-BE49-F238E27FC236}">
              <a16:creationId xmlns:a16="http://schemas.microsoft.com/office/drawing/2014/main" id="{F818B4B4-80AB-49ED-9AF3-DDCFB9092BF6}"/>
            </a:ext>
          </a:extLst>
        </xdr:cNvPr>
        <xdr:cNvSpPr/>
      </xdr:nvSpPr>
      <xdr:spPr>
        <a:xfrm>
          <a:off x="8316612" y="79343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20</xdr:row>
      <xdr:rowOff>0</xdr:rowOff>
    </xdr:from>
    <xdr:to>
      <xdr:col>4</xdr:col>
      <xdr:colOff>0</xdr:colOff>
      <xdr:row>20</xdr:row>
      <xdr:rowOff>163375</xdr:rowOff>
    </xdr:to>
    <xdr:sp macro="" textlink="">
      <xdr:nvSpPr>
        <xdr:cNvPr id="13" name="Rectangle 12">
          <a:extLst>
            <a:ext uri="{FF2B5EF4-FFF2-40B4-BE49-F238E27FC236}">
              <a16:creationId xmlns:a16="http://schemas.microsoft.com/office/drawing/2014/main" id="{07822FBC-CD2B-48D5-9BEE-4707622A686A}"/>
            </a:ext>
          </a:extLst>
        </xdr:cNvPr>
        <xdr:cNvSpPr/>
      </xdr:nvSpPr>
      <xdr:spPr>
        <a:xfrm>
          <a:off x="8316612" y="82486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21</xdr:row>
      <xdr:rowOff>1029</xdr:rowOff>
    </xdr:from>
    <xdr:to>
      <xdr:col>4</xdr:col>
      <xdr:colOff>0</xdr:colOff>
      <xdr:row>21</xdr:row>
      <xdr:rowOff>163375</xdr:rowOff>
    </xdr:to>
    <xdr:sp macro="" textlink="">
      <xdr:nvSpPr>
        <xdr:cNvPr id="14" name="Rectangle 13">
          <a:extLst>
            <a:ext uri="{FF2B5EF4-FFF2-40B4-BE49-F238E27FC236}">
              <a16:creationId xmlns:a16="http://schemas.microsoft.com/office/drawing/2014/main" id="{2D55A57E-6288-4847-8D97-B356956DB0C0}"/>
            </a:ext>
          </a:extLst>
        </xdr:cNvPr>
        <xdr:cNvSpPr/>
      </xdr:nvSpPr>
      <xdr:spPr>
        <a:xfrm>
          <a:off x="8316612" y="856400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22</xdr:row>
      <xdr:rowOff>0</xdr:rowOff>
    </xdr:from>
    <xdr:to>
      <xdr:col>4</xdr:col>
      <xdr:colOff>0</xdr:colOff>
      <xdr:row>22</xdr:row>
      <xdr:rowOff>163375</xdr:rowOff>
    </xdr:to>
    <xdr:sp macro="" textlink="">
      <xdr:nvSpPr>
        <xdr:cNvPr id="15" name="Rectangle 14">
          <a:extLst>
            <a:ext uri="{FF2B5EF4-FFF2-40B4-BE49-F238E27FC236}">
              <a16:creationId xmlns:a16="http://schemas.microsoft.com/office/drawing/2014/main" id="{41B2A77D-2F36-446A-B74D-7B796DF2F7DE}"/>
            </a:ext>
          </a:extLst>
        </xdr:cNvPr>
        <xdr:cNvSpPr/>
      </xdr:nvSpPr>
      <xdr:spPr>
        <a:xfrm>
          <a:off x="8316612" y="88773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23</xdr:row>
      <xdr:rowOff>0</xdr:rowOff>
    </xdr:from>
    <xdr:to>
      <xdr:col>4</xdr:col>
      <xdr:colOff>0</xdr:colOff>
      <xdr:row>23</xdr:row>
      <xdr:rowOff>163375</xdr:rowOff>
    </xdr:to>
    <xdr:sp macro="" textlink="">
      <xdr:nvSpPr>
        <xdr:cNvPr id="16" name="Rectangle 15">
          <a:extLst>
            <a:ext uri="{FF2B5EF4-FFF2-40B4-BE49-F238E27FC236}">
              <a16:creationId xmlns:a16="http://schemas.microsoft.com/office/drawing/2014/main" id="{3A18C6AE-947F-4DEA-A0CA-3A252330D09F}"/>
            </a:ext>
          </a:extLst>
        </xdr:cNvPr>
        <xdr:cNvSpPr/>
      </xdr:nvSpPr>
      <xdr:spPr>
        <a:xfrm>
          <a:off x="8316612" y="91916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24</xdr:row>
      <xdr:rowOff>0</xdr:rowOff>
    </xdr:from>
    <xdr:to>
      <xdr:col>4</xdr:col>
      <xdr:colOff>0</xdr:colOff>
      <xdr:row>24</xdr:row>
      <xdr:rowOff>163375</xdr:rowOff>
    </xdr:to>
    <xdr:sp macro="" textlink="">
      <xdr:nvSpPr>
        <xdr:cNvPr id="17" name="Rectangle 16">
          <a:extLst>
            <a:ext uri="{FF2B5EF4-FFF2-40B4-BE49-F238E27FC236}">
              <a16:creationId xmlns:a16="http://schemas.microsoft.com/office/drawing/2014/main" id="{01236E9D-27D4-4BC8-82A1-0D14DD4BE1C9}"/>
            </a:ext>
          </a:extLst>
        </xdr:cNvPr>
        <xdr:cNvSpPr/>
      </xdr:nvSpPr>
      <xdr:spPr>
        <a:xfrm>
          <a:off x="8316612" y="95059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25</xdr:row>
      <xdr:rowOff>1029</xdr:rowOff>
    </xdr:from>
    <xdr:to>
      <xdr:col>4</xdr:col>
      <xdr:colOff>0</xdr:colOff>
      <xdr:row>25</xdr:row>
      <xdr:rowOff>163375</xdr:rowOff>
    </xdr:to>
    <xdr:sp macro="" textlink="">
      <xdr:nvSpPr>
        <xdr:cNvPr id="18" name="Rectangle 17">
          <a:extLst>
            <a:ext uri="{FF2B5EF4-FFF2-40B4-BE49-F238E27FC236}">
              <a16:creationId xmlns:a16="http://schemas.microsoft.com/office/drawing/2014/main" id="{077AEEE8-E1C1-4C60-902D-AB85E5B741AF}"/>
            </a:ext>
          </a:extLst>
        </xdr:cNvPr>
        <xdr:cNvSpPr/>
      </xdr:nvSpPr>
      <xdr:spPr>
        <a:xfrm>
          <a:off x="8316612" y="982130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26</xdr:row>
      <xdr:rowOff>0</xdr:rowOff>
    </xdr:from>
    <xdr:to>
      <xdr:col>4</xdr:col>
      <xdr:colOff>0</xdr:colOff>
      <xdr:row>26</xdr:row>
      <xdr:rowOff>163375</xdr:rowOff>
    </xdr:to>
    <xdr:sp macro="" textlink="">
      <xdr:nvSpPr>
        <xdr:cNvPr id="19" name="Rectangle 18">
          <a:extLst>
            <a:ext uri="{FF2B5EF4-FFF2-40B4-BE49-F238E27FC236}">
              <a16:creationId xmlns:a16="http://schemas.microsoft.com/office/drawing/2014/main" id="{2D8DB307-7CA8-4217-A338-85416B500AE5}"/>
            </a:ext>
          </a:extLst>
        </xdr:cNvPr>
        <xdr:cNvSpPr/>
      </xdr:nvSpPr>
      <xdr:spPr>
        <a:xfrm>
          <a:off x="8316612" y="101346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27</xdr:row>
      <xdr:rowOff>0</xdr:rowOff>
    </xdr:from>
    <xdr:to>
      <xdr:col>4</xdr:col>
      <xdr:colOff>0</xdr:colOff>
      <xdr:row>27</xdr:row>
      <xdr:rowOff>163375</xdr:rowOff>
    </xdr:to>
    <xdr:sp macro="" textlink="">
      <xdr:nvSpPr>
        <xdr:cNvPr id="20" name="Rectangle 19">
          <a:extLst>
            <a:ext uri="{FF2B5EF4-FFF2-40B4-BE49-F238E27FC236}">
              <a16:creationId xmlns:a16="http://schemas.microsoft.com/office/drawing/2014/main" id="{3C70EF25-3040-484F-823B-C9485CBB2030}"/>
            </a:ext>
          </a:extLst>
        </xdr:cNvPr>
        <xdr:cNvSpPr/>
      </xdr:nvSpPr>
      <xdr:spPr>
        <a:xfrm>
          <a:off x="8316612" y="104489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28</xdr:row>
      <xdr:rowOff>0</xdr:rowOff>
    </xdr:from>
    <xdr:to>
      <xdr:col>4</xdr:col>
      <xdr:colOff>0</xdr:colOff>
      <xdr:row>28</xdr:row>
      <xdr:rowOff>163375</xdr:rowOff>
    </xdr:to>
    <xdr:sp macro="" textlink="">
      <xdr:nvSpPr>
        <xdr:cNvPr id="21" name="Rectangle 20">
          <a:extLst>
            <a:ext uri="{FF2B5EF4-FFF2-40B4-BE49-F238E27FC236}">
              <a16:creationId xmlns:a16="http://schemas.microsoft.com/office/drawing/2014/main" id="{C39BBDE8-C95D-4AC4-9F29-6A1B67EE8550}"/>
            </a:ext>
          </a:extLst>
        </xdr:cNvPr>
        <xdr:cNvSpPr/>
      </xdr:nvSpPr>
      <xdr:spPr>
        <a:xfrm>
          <a:off x="8316612" y="107632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19</xdr:row>
      <xdr:rowOff>0</xdr:rowOff>
    </xdr:from>
    <xdr:to>
      <xdr:col>5</xdr:col>
      <xdr:colOff>0</xdr:colOff>
      <xdr:row>19</xdr:row>
      <xdr:rowOff>163375</xdr:rowOff>
    </xdr:to>
    <xdr:sp macro="" textlink="">
      <xdr:nvSpPr>
        <xdr:cNvPr id="22" name="Rectangle 21">
          <a:extLst>
            <a:ext uri="{FF2B5EF4-FFF2-40B4-BE49-F238E27FC236}">
              <a16:creationId xmlns:a16="http://schemas.microsoft.com/office/drawing/2014/main" id="{0C59ACB0-9FD8-4B90-A8C2-BED05FAD57A2}"/>
            </a:ext>
          </a:extLst>
        </xdr:cNvPr>
        <xdr:cNvSpPr/>
      </xdr:nvSpPr>
      <xdr:spPr>
        <a:xfrm>
          <a:off x="9297687" y="79343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20</xdr:row>
      <xdr:rowOff>0</xdr:rowOff>
    </xdr:from>
    <xdr:to>
      <xdr:col>5</xdr:col>
      <xdr:colOff>0</xdr:colOff>
      <xdr:row>20</xdr:row>
      <xdr:rowOff>163375</xdr:rowOff>
    </xdr:to>
    <xdr:sp macro="" textlink="">
      <xdr:nvSpPr>
        <xdr:cNvPr id="23" name="Rectangle 22">
          <a:extLst>
            <a:ext uri="{FF2B5EF4-FFF2-40B4-BE49-F238E27FC236}">
              <a16:creationId xmlns:a16="http://schemas.microsoft.com/office/drawing/2014/main" id="{01AC7A63-BD8C-4AB8-9B71-E8C256B37FD4}"/>
            </a:ext>
          </a:extLst>
        </xdr:cNvPr>
        <xdr:cNvSpPr/>
      </xdr:nvSpPr>
      <xdr:spPr>
        <a:xfrm>
          <a:off x="9297687" y="82486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36</xdr:row>
      <xdr:rowOff>0</xdr:rowOff>
    </xdr:from>
    <xdr:to>
      <xdr:col>12</xdr:col>
      <xdr:colOff>0</xdr:colOff>
      <xdr:row>45</xdr:row>
      <xdr:rowOff>0</xdr:rowOff>
    </xdr:to>
    <xdr:graphicFrame macro="">
      <xdr:nvGraphicFramePr>
        <xdr:cNvPr id="2" name="Chart 1">
          <a:extLst>
            <a:ext uri="{FF2B5EF4-FFF2-40B4-BE49-F238E27FC236}">
              <a16:creationId xmlns:a16="http://schemas.microsoft.com/office/drawing/2014/main" id="{3800FD87-6A29-344E-8687-A20284EA4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161925</xdr:colOff>
      <xdr:row>0</xdr:row>
      <xdr:rowOff>66675</xdr:rowOff>
    </xdr:from>
    <xdr:to>
      <xdr:col>3</xdr:col>
      <xdr:colOff>733213</xdr:colOff>
      <xdr:row>0</xdr:row>
      <xdr:rowOff>1349375</xdr:rowOff>
    </xdr:to>
    <xdr:pic>
      <xdr:nvPicPr>
        <xdr:cNvPr id="3" name="Picture 2">
          <a:extLst>
            <a:ext uri="{FF2B5EF4-FFF2-40B4-BE49-F238E27FC236}">
              <a16:creationId xmlns:a16="http://schemas.microsoft.com/office/drawing/2014/main" id="{902C92BD-25EA-4130-928C-A1164DD7B0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 y="66675"/>
          <a:ext cx="1695238" cy="1282700"/>
        </a:xfrm>
        <a:prstGeom prst="rect">
          <a:avLst/>
        </a:prstGeom>
      </xdr:spPr>
    </xdr:pic>
    <xdr:clientData/>
  </xdr:twoCellAnchor>
  <xdr:twoCellAnchor>
    <xdr:from>
      <xdr:col>3</xdr:col>
      <xdr:colOff>6362700</xdr:colOff>
      <xdr:row>18</xdr:row>
      <xdr:rowOff>0</xdr:rowOff>
    </xdr:from>
    <xdr:to>
      <xdr:col>4</xdr:col>
      <xdr:colOff>0</xdr:colOff>
      <xdr:row>18</xdr:row>
      <xdr:rowOff>163375</xdr:rowOff>
    </xdr:to>
    <xdr:sp macro="" textlink="">
      <xdr:nvSpPr>
        <xdr:cNvPr id="4" name="Rectangle 3">
          <a:extLst>
            <a:ext uri="{FF2B5EF4-FFF2-40B4-BE49-F238E27FC236}">
              <a16:creationId xmlns:a16="http://schemas.microsoft.com/office/drawing/2014/main" id="{40F58AD5-4B25-46A1-976F-8FC62D5D203E}"/>
            </a:ext>
          </a:extLst>
        </xdr:cNvPr>
        <xdr:cNvSpPr/>
      </xdr:nvSpPr>
      <xdr:spPr>
        <a:xfrm>
          <a:off x="8315325" y="7620000"/>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18</xdr:row>
      <xdr:rowOff>295275</xdr:rowOff>
    </xdr:from>
    <xdr:to>
      <xdr:col>4</xdr:col>
      <xdr:colOff>0</xdr:colOff>
      <xdr:row>19</xdr:row>
      <xdr:rowOff>144325</xdr:rowOff>
    </xdr:to>
    <xdr:sp macro="" textlink="">
      <xdr:nvSpPr>
        <xdr:cNvPr id="5" name="Rectangle 4">
          <a:extLst>
            <a:ext uri="{FF2B5EF4-FFF2-40B4-BE49-F238E27FC236}">
              <a16:creationId xmlns:a16="http://schemas.microsoft.com/office/drawing/2014/main" id="{DDBCF1B9-DB95-4BDE-BF0C-CBA498ECCE68}"/>
            </a:ext>
          </a:extLst>
        </xdr:cNvPr>
        <xdr:cNvSpPr/>
      </xdr:nvSpPr>
      <xdr:spPr>
        <a:xfrm>
          <a:off x="8316612" y="79152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19</xdr:row>
      <xdr:rowOff>295275</xdr:rowOff>
    </xdr:from>
    <xdr:to>
      <xdr:col>4</xdr:col>
      <xdr:colOff>0</xdr:colOff>
      <xdr:row>20</xdr:row>
      <xdr:rowOff>144325</xdr:rowOff>
    </xdr:to>
    <xdr:sp macro="" textlink="">
      <xdr:nvSpPr>
        <xdr:cNvPr id="6" name="Rectangle 5">
          <a:extLst>
            <a:ext uri="{FF2B5EF4-FFF2-40B4-BE49-F238E27FC236}">
              <a16:creationId xmlns:a16="http://schemas.microsoft.com/office/drawing/2014/main" id="{501E93D3-A143-480E-A760-8E07A163BED0}"/>
            </a:ext>
          </a:extLst>
        </xdr:cNvPr>
        <xdr:cNvSpPr/>
      </xdr:nvSpPr>
      <xdr:spPr>
        <a:xfrm>
          <a:off x="8316612" y="82296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20</xdr:row>
      <xdr:rowOff>296304</xdr:rowOff>
    </xdr:from>
    <xdr:to>
      <xdr:col>4</xdr:col>
      <xdr:colOff>0</xdr:colOff>
      <xdr:row>21</xdr:row>
      <xdr:rowOff>144325</xdr:rowOff>
    </xdr:to>
    <xdr:sp macro="" textlink="">
      <xdr:nvSpPr>
        <xdr:cNvPr id="7" name="Rectangle 6">
          <a:extLst>
            <a:ext uri="{FF2B5EF4-FFF2-40B4-BE49-F238E27FC236}">
              <a16:creationId xmlns:a16="http://schemas.microsoft.com/office/drawing/2014/main" id="{2866812E-CF49-4904-AC64-31BD740DA964}"/>
            </a:ext>
          </a:extLst>
        </xdr:cNvPr>
        <xdr:cNvSpPr/>
      </xdr:nvSpPr>
      <xdr:spPr>
        <a:xfrm>
          <a:off x="8316612" y="854495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21</xdr:row>
      <xdr:rowOff>295275</xdr:rowOff>
    </xdr:from>
    <xdr:to>
      <xdr:col>4</xdr:col>
      <xdr:colOff>0</xdr:colOff>
      <xdr:row>22</xdr:row>
      <xdr:rowOff>144325</xdr:rowOff>
    </xdr:to>
    <xdr:sp macro="" textlink="">
      <xdr:nvSpPr>
        <xdr:cNvPr id="8" name="Rectangle 7">
          <a:extLst>
            <a:ext uri="{FF2B5EF4-FFF2-40B4-BE49-F238E27FC236}">
              <a16:creationId xmlns:a16="http://schemas.microsoft.com/office/drawing/2014/main" id="{8BE0B049-2044-4A6E-864E-A7F36FEF539E}"/>
            </a:ext>
          </a:extLst>
        </xdr:cNvPr>
        <xdr:cNvSpPr/>
      </xdr:nvSpPr>
      <xdr:spPr>
        <a:xfrm>
          <a:off x="8316612" y="88582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22</xdr:row>
      <xdr:rowOff>295275</xdr:rowOff>
    </xdr:from>
    <xdr:to>
      <xdr:col>4</xdr:col>
      <xdr:colOff>0</xdr:colOff>
      <xdr:row>23</xdr:row>
      <xdr:rowOff>144325</xdr:rowOff>
    </xdr:to>
    <xdr:sp macro="" textlink="">
      <xdr:nvSpPr>
        <xdr:cNvPr id="9" name="Rectangle 8">
          <a:extLst>
            <a:ext uri="{FF2B5EF4-FFF2-40B4-BE49-F238E27FC236}">
              <a16:creationId xmlns:a16="http://schemas.microsoft.com/office/drawing/2014/main" id="{06CDEC84-9718-4F91-968B-AC19F6470642}"/>
            </a:ext>
          </a:extLst>
        </xdr:cNvPr>
        <xdr:cNvSpPr/>
      </xdr:nvSpPr>
      <xdr:spPr>
        <a:xfrm>
          <a:off x="8316612" y="91725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23</xdr:row>
      <xdr:rowOff>295275</xdr:rowOff>
    </xdr:from>
    <xdr:to>
      <xdr:col>4</xdr:col>
      <xdr:colOff>0</xdr:colOff>
      <xdr:row>24</xdr:row>
      <xdr:rowOff>144325</xdr:rowOff>
    </xdr:to>
    <xdr:sp macro="" textlink="">
      <xdr:nvSpPr>
        <xdr:cNvPr id="10" name="Rectangle 9">
          <a:extLst>
            <a:ext uri="{FF2B5EF4-FFF2-40B4-BE49-F238E27FC236}">
              <a16:creationId xmlns:a16="http://schemas.microsoft.com/office/drawing/2014/main" id="{8B775574-6547-42C6-8658-434793B2D256}"/>
            </a:ext>
          </a:extLst>
        </xdr:cNvPr>
        <xdr:cNvSpPr/>
      </xdr:nvSpPr>
      <xdr:spPr>
        <a:xfrm>
          <a:off x="8316612" y="94869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24</xdr:row>
      <xdr:rowOff>296304</xdr:rowOff>
    </xdr:from>
    <xdr:to>
      <xdr:col>4</xdr:col>
      <xdr:colOff>0</xdr:colOff>
      <xdr:row>25</xdr:row>
      <xdr:rowOff>144325</xdr:rowOff>
    </xdr:to>
    <xdr:sp macro="" textlink="">
      <xdr:nvSpPr>
        <xdr:cNvPr id="11" name="Rectangle 10">
          <a:extLst>
            <a:ext uri="{FF2B5EF4-FFF2-40B4-BE49-F238E27FC236}">
              <a16:creationId xmlns:a16="http://schemas.microsoft.com/office/drawing/2014/main" id="{5F18F674-7E83-4693-BB57-3132ED3E8960}"/>
            </a:ext>
          </a:extLst>
        </xdr:cNvPr>
        <xdr:cNvSpPr/>
      </xdr:nvSpPr>
      <xdr:spPr>
        <a:xfrm>
          <a:off x="8316612" y="980225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25</xdr:row>
      <xdr:rowOff>295275</xdr:rowOff>
    </xdr:from>
    <xdr:to>
      <xdr:col>4</xdr:col>
      <xdr:colOff>0</xdr:colOff>
      <xdr:row>26</xdr:row>
      <xdr:rowOff>144325</xdr:rowOff>
    </xdr:to>
    <xdr:sp macro="" textlink="">
      <xdr:nvSpPr>
        <xdr:cNvPr id="12" name="Rectangle 11">
          <a:extLst>
            <a:ext uri="{FF2B5EF4-FFF2-40B4-BE49-F238E27FC236}">
              <a16:creationId xmlns:a16="http://schemas.microsoft.com/office/drawing/2014/main" id="{F4EF6A2A-353C-441C-9B85-56D1860433D7}"/>
            </a:ext>
          </a:extLst>
        </xdr:cNvPr>
        <xdr:cNvSpPr/>
      </xdr:nvSpPr>
      <xdr:spPr>
        <a:xfrm>
          <a:off x="8316612" y="101155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26</xdr:row>
      <xdr:rowOff>295275</xdr:rowOff>
    </xdr:from>
    <xdr:to>
      <xdr:col>4</xdr:col>
      <xdr:colOff>0</xdr:colOff>
      <xdr:row>27</xdr:row>
      <xdr:rowOff>144325</xdr:rowOff>
    </xdr:to>
    <xdr:sp macro="" textlink="">
      <xdr:nvSpPr>
        <xdr:cNvPr id="13" name="Rectangle 12">
          <a:extLst>
            <a:ext uri="{FF2B5EF4-FFF2-40B4-BE49-F238E27FC236}">
              <a16:creationId xmlns:a16="http://schemas.microsoft.com/office/drawing/2014/main" id="{C9EF8AFC-CF55-4735-853E-632748D4121D}"/>
            </a:ext>
          </a:extLst>
        </xdr:cNvPr>
        <xdr:cNvSpPr/>
      </xdr:nvSpPr>
      <xdr:spPr>
        <a:xfrm>
          <a:off x="8316612" y="1042987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27</xdr:row>
      <xdr:rowOff>295275</xdr:rowOff>
    </xdr:from>
    <xdr:to>
      <xdr:col>4</xdr:col>
      <xdr:colOff>0</xdr:colOff>
      <xdr:row>28</xdr:row>
      <xdr:rowOff>144325</xdr:rowOff>
    </xdr:to>
    <xdr:sp macro="" textlink="">
      <xdr:nvSpPr>
        <xdr:cNvPr id="14" name="Rectangle 13">
          <a:extLst>
            <a:ext uri="{FF2B5EF4-FFF2-40B4-BE49-F238E27FC236}">
              <a16:creationId xmlns:a16="http://schemas.microsoft.com/office/drawing/2014/main" id="{DB4E3C29-0C60-44A0-A2D7-691C6EFAEC9E}"/>
            </a:ext>
          </a:extLst>
        </xdr:cNvPr>
        <xdr:cNvSpPr/>
      </xdr:nvSpPr>
      <xdr:spPr>
        <a:xfrm>
          <a:off x="8316612" y="107442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19</xdr:row>
      <xdr:rowOff>0</xdr:rowOff>
    </xdr:from>
    <xdr:to>
      <xdr:col>5</xdr:col>
      <xdr:colOff>0</xdr:colOff>
      <xdr:row>19</xdr:row>
      <xdr:rowOff>163375</xdr:rowOff>
    </xdr:to>
    <xdr:sp macro="" textlink="">
      <xdr:nvSpPr>
        <xdr:cNvPr id="15" name="Rectangle 14">
          <a:extLst>
            <a:ext uri="{FF2B5EF4-FFF2-40B4-BE49-F238E27FC236}">
              <a16:creationId xmlns:a16="http://schemas.microsoft.com/office/drawing/2014/main" id="{13B6F8DA-7BF4-4C21-84C2-E30129CBD2FF}"/>
            </a:ext>
          </a:extLst>
        </xdr:cNvPr>
        <xdr:cNvSpPr/>
      </xdr:nvSpPr>
      <xdr:spPr>
        <a:xfrm>
          <a:off x="9297687" y="79343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20</xdr:row>
      <xdr:rowOff>0</xdr:rowOff>
    </xdr:from>
    <xdr:to>
      <xdr:col>5</xdr:col>
      <xdr:colOff>0</xdr:colOff>
      <xdr:row>20</xdr:row>
      <xdr:rowOff>163375</xdr:rowOff>
    </xdr:to>
    <xdr:sp macro="" textlink="">
      <xdr:nvSpPr>
        <xdr:cNvPr id="16" name="Rectangle 15">
          <a:extLst>
            <a:ext uri="{FF2B5EF4-FFF2-40B4-BE49-F238E27FC236}">
              <a16:creationId xmlns:a16="http://schemas.microsoft.com/office/drawing/2014/main" id="{1CC39769-EF0F-4B09-B942-24DE0F7FF504}"/>
            </a:ext>
          </a:extLst>
        </xdr:cNvPr>
        <xdr:cNvSpPr/>
      </xdr:nvSpPr>
      <xdr:spPr>
        <a:xfrm>
          <a:off x="9297687" y="82486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723900</xdr:colOff>
      <xdr:row>35</xdr:row>
      <xdr:rowOff>292100</xdr:rowOff>
    </xdr:from>
    <xdr:to>
      <xdr:col>11</xdr:col>
      <xdr:colOff>508000</xdr:colOff>
      <xdr:row>44</xdr:row>
      <xdr:rowOff>177800</xdr:rowOff>
    </xdr:to>
    <xdr:graphicFrame macro="">
      <xdr:nvGraphicFramePr>
        <xdr:cNvPr id="2" name="Chart 1">
          <a:extLst>
            <a:ext uri="{FF2B5EF4-FFF2-40B4-BE49-F238E27FC236}">
              <a16:creationId xmlns:a16="http://schemas.microsoft.com/office/drawing/2014/main" id="{EBCBACC3-8FB6-294A-BECD-C4C85E1DA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161925</xdr:colOff>
      <xdr:row>0</xdr:row>
      <xdr:rowOff>85725</xdr:rowOff>
    </xdr:from>
    <xdr:to>
      <xdr:col>3</xdr:col>
      <xdr:colOff>733213</xdr:colOff>
      <xdr:row>0</xdr:row>
      <xdr:rowOff>1368425</xdr:rowOff>
    </xdr:to>
    <xdr:pic>
      <xdr:nvPicPr>
        <xdr:cNvPr id="3" name="Picture 2">
          <a:extLst>
            <a:ext uri="{FF2B5EF4-FFF2-40B4-BE49-F238E27FC236}">
              <a16:creationId xmlns:a16="http://schemas.microsoft.com/office/drawing/2014/main" id="{E6F16B97-E5ED-4E07-9FAB-3AABB9AB22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 y="85725"/>
          <a:ext cx="1695238" cy="1282700"/>
        </a:xfrm>
        <a:prstGeom prst="rect">
          <a:avLst/>
        </a:prstGeom>
      </xdr:spPr>
    </xdr:pic>
    <xdr:clientData/>
  </xdr:twoCellAnchor>
  <xdr:twoCellAnchor>
    <xdr:from>
      <xdr:col>3</xdr:col>
      <xdr:colOff>6362700</xdr:colOff>
      <xdr:row>18</xdr:row>
      <xdr:rowOff>19050</xdr:rowOff>
    </xdr:from>
    <xdr:to>
      <xdr:col>4</xdr:col>
      <xdr:colOff>0</xdr:colOff>
      <xdr:row>18</xdr:row>
      <xdr:rowOff>182425</xdr:rowOff>
    </xdr:to>
    <xdr:sp macro="" textlink="">
      <xdr:nvSpPr>
        <xdr:cNvPr id="4" name="Rectangle 3">
          <a:extLst>
            <a:ext uri="{FF2B5EF4-FFF2-40B4-BE49-F238E27FC236}">
              <a16:creationId xmlns:a16="http://schemas.microsoft.com/office/drawing/2014/main" id="{3C4DB8BA-3C62-47ED-8A2C-113FBF0CE39A}"/>
            </a:ext>
          </a:extLst>
        </xdr:cNvPr>
        <xdr:cNvSpPr/>
      </xdr:nvSpPr>
      <xdr:spPr>
        <a:xfrm>
          <a:off x="8315325" y="7639050"/>
          <a:ext cx="161925"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19</xdr:row>
      <xdr:rowOff>0</xdr:rowOff>
    </xdr:from>
    <xdr:to>
      <xdr:col>4</xdr:col>
      <xdr:colOff>0</xdr:colOff>
      <xdr:row>19</xdr:row>
      <xdr:rowOff>163375</xdr:rowOff>
    </xdr:to>
    <xdr:sp macro="" textlink="">
      <xdr:nvSpPr>
        <xdr:cNvPr id="5" name="Rectangle 4">
          <a:extLst>
            <a:ext uri="{FF2B5EF4-FFF2-40B4-BE49-F238E27FC236}">
              <a16:creationId xmlns:a16="http://schemas.microsoft.com/office/drawing/2014/main" id="{5504BFC7-CC68-4470-80F1-271058261B0A}"/>
            </a:ext>
          </a:extLst>
        </xdr:cNvPr>
        <xdr:cNvSpPr/>
      </xdr:nvSpPr>
      <xdr:spPr>
        <a:xfrm>
          <a:off x="8316612" y="79343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20</xdr:row>
      <xdr:rowOff>0</xdr:rowOff>
    </xdr:from>
    <xdr:to>
      <xdr:col>4</xdr:col>
      <xdr:colOff>0</xdr:colOff>
      <xdr:row>20</xdr:row>
      <xdr:rowOff>163375</xdr:rowOff>
    </xdr:to>
    <xdr:sp macro="" textlink="">
      <xdr:nvSpPr>
        <xdr:cNvPr id="6" name="Rectangle 5">
          <a:extLst>
            <a:ext uri="{FF2B5EF4-FFF2-40B4-BE49-F238E27FC236}">
              <a16:creationId xmlns:a16="http://schemas.microsoft.com/office/drawing/2014/main" id="{4D4BA76F-B05D-4105-95FA-B8FB28CE3FAF}"/>
            </a:ext>
          </a:extLst>
        </xdr:cNvPr>
        <xdr:cNvSpPr/>
      </xdr:nvSpPr>
      <xdr:spPr>
        <a:xfrm>
          <a:off x="8316612" y="82486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21</xdr:row>
      <xdr:rowOff>1029</xdr:rowOff>
    </xdr:from>
    <xdr:to>
      <xdr:col>4</xdr:col>
      <xdr:colOff>0</xdr:colOff>
      <xdr:row>21</xdr:row>
      <xdr:rowOff>163375</xdr:rowOff>
    </xdr:to>
    <xdr:sp macro="" textlink="">
      <xdr:nvSpPr>
        <xdr:cNvPr id="7" name="Rectangle 6">
          <a:extLst>
            <a:ext uri="{FF2B5EF4-FFF2-40B4-BE49-F238E27FC236}">
              <a16:creationId xmlns:a16="http://schemas.microsoft.com/office/drawing/2014/main" id="{D306FD8C-44AA-4D06-8494-64936CEC744F}"/>
            </a:ext>
          </a:extLst>
        </xdr:cNvPr>
        <xdr:cNvSpPr/>
      </xdr:nvSpPr>
      <xdr:spPr>
        <a:xfrm>
          <a:off x="8316612" y="856400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22</xdr:row>
      <xdr:rowOff>0</xdr:rowOff>
    </xdr:from>
    <xdr:to>
      <xdr:col>4</xdr:col>
      <xdr:colOff>0</xdr:colOff>
      <xdr:row>22</xdr:row>
      <xdr:rowOff>163375</xdr:rowOff>
    </xdr:to>
    <xdr:sp macro="" textlink="">
      <xdr:nvSpPr>
        <xdr:cNvPr id="8" name="Rectangle 7">
          <a:extLst>
            <a:ext uri="{FF2B5EF4-FFF2-40B4-BE49-F238E27FC236}">
              <a16:creationId xmlns:a16="http://schemas.microsoft.com/office/drawing/2014/main" id="{9ADA4D2C-9FBC-4FF6-9F1E-87D095115BD6}"/>
            </a:ext>
          </a:extLst>
        </xdr:cNvPr>
        <xdr:cNvSpPr/>
      </xdr:nvSpPr>
      <xdr:spPr>
        <a:xfrm>
          <a:off x="8316612" y="88773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23</xdr:row>
      <xdr:rowOff>0</xdr:rowOff>
    </xdr:from>
    <xdr:to>
      <xdr:col>4</xdr:col>
      <xdr:colOff>0</xdr:colOff>
      <xdr:row>23</xdr:row>
      <xdr:rowOff>163375</xdr:rowOff>
    </xdr:to>
    <xdr:sp macro="" textlink="">
      <xdr:nvSpPr>
        <xdr:cNvPr id="9" name="Rectangle 8">
          <a:extLst>
            <a:ext uri="{FF2B5EF4-FFF2-40B4-BE49-F238E27FC236}">
              <a16:creationId xmlns:a16="http://schemas.microsoft.com/office/drawing/2014/main" id="{D74AB1F1-DA99-4962-9367-9FFBFECCECDF}"/>
            </a:ext>
          </a:extLst>
        </xdr:cNvPr>
        <xdr:cNvSpPr/>
      </xdr:nvSpPr>
      <xdr:spPr>
        <a:xfrm>
          <a:off x="8316612" y="91916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24</xdr:row>
      <xdr:rowOff>0</xdr:rowOff>
    </xdr:from>
    <xdr:to>
      <xdr:col>4</xdr:col>
      <xdr:colOff>0</xdr:colOff>
      <xdr:row>24</xdr:row>
      <xdr:rowOff>163375</xdr:rowOff>
    </xdr:to>
    <xdr:sp macro="" textlink="">
      <xdr:nvSpPr>
        <xdr:cNvPr id="10" name="Rectangle 9">
          <a:extLst>
            <a:ext uri="{FF2B5EF4-FFF2-40B4-BE49-F238E27FC236}">
              <a16:creationId xmlns:a16="http://schemas.microsoft.com/office/drawing/2014/main" id="{A590FD8B-A355-4CC8-A14A-C143F0AA2119}"/>
            </a:ext>
          </a:extLst>
        </xdr:cNvPr>
        <xdr:cNvSpPr/>
      </xdr:nvSpPr>
      <xdr:spPr>
        <a:xfrm>
          <a:off x="8316612" y="95059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25</xdr:row>
      <xdr:rowOff>1029</xdr:rowOff>
    </xdr:from>
    <xdr:to>
      <xdr:col>4</xdr:col>
      <xdr:colOff>0</xdr:colOff>
      <xdr:row>25</xdr:row>
      <xdr:rowOff>163375</xdr:rowOff>
    </xdr:to>
    <xdr:sp macro="" textlink="">
      <xdr:nvSpPr>
        <xdr:cNvPr id="11" name="Rectangle 10">
          <a:extLst>
            <a:ext uri="{FF2B5EF4-FFF2-40B4-BE49-F238E27FC236}">
              <a16:creationId xmlns:a16="http://schemas.microsoft.com/office/drawing/2014/main" id="{152E21D8-7C88-4A84-A666-1B935A77908A}"/>
            </a:ext>
          </a:extLst>
        </xdr:cNvPr>
        <xdr:cNvSpPr/>
      </xdr:nvSpPr>
      <xdr:spPr>
        <a:xfrm>
          <a:off x="8316612" y="9821304"/>
          <a:ext cx="160638" cy="162346"/>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26</xdr:row>
      <xdr:rowOff>0</xdr:rowOff>
    </xdr:from>
    <xdr:to>
      <xdr:col>4</xdr:col>
      <xdr:colOff>0</xdr:colOff>
      <xdr:row>26</xdr:row>
      <xdr:rowOff>163375</xdr:rowOff>
    </xdr:to>
    <xdr:sp macro="" textlink="">
      <xdr:nvSpPr>
        <xdr:cNvPr id="12" name="Rectangle 11">
          <a:extLst>
            <a:ext uri="{FF2B5EF4-FFF2-40B4-BE49-F238E27FC236}">
              <a16:creationId xmlns:a16="http://schemas.microsoft.com/office/drawing/2014/main" id="{BDD870AC-4594-4FD5-8AEE-D661AC9AF9B2}"/>
            </a:ext>
          </a:extLst>
        </xdr:cNvPr>
        <xdr:cNvSpPr/>
      </xdr:nvSpPr>
      <xdr:spPr>
        <a:xfrm>
          <a:off x="8316612" y="1013460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27</xdr:row>
      <xdr:rowOff>0</xdr:rowOff>
    </xdr:from>
    <xdr:to>
      <xdr:col>4</xdr:col>
      <xdr:colOff>0</xdr:colOff>
      <xdr:row>27</xdr:row>
      <xdr:rowOff>163375</xdr:rowOff>
    </xdr:to>
    <xdr:sp macro="" textlink="">
      <xdr:nvSpPr>
        <xdr:cNvPr id="13" name="Rectangle 12">
          <a:extLst>
            <a:ext uri="{FF2B5EF4-FFF2-40B4-BE49-F238E27FC236}">
              <a16:creationId xmlns:a16="http://schemas.microsoft.com/office/drawing/2014/main" id="{57D5A5B9-0D1D-4F54-81E4-D0F16B50289A}"/>
            </a:ext>
          </a:extLst>
        </xdr:cNvPr>
        <xdr:cNvSpPr/>
      </xdr:nvSpPr>
      <xdr:spPr>
        <a:xfrm>
          <a:off x="8316612" y="104489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3</xdr:col>
      <xdr:colOff>6363987</xdr:colOff>
      <xdr:row>28</xdr:row>
      <xdr:rowOff>0</xdr:rowOff>
    </xdr:from>
    <xdr:to>
      <xdr:col>4</xdr:col>
      <xdr:colOff>0</xdr:colOff>
      <xdr:row>28</xdr:row>
      <xdr:rowOff>163375</xdr:rowOff>
    </xdr:to>
    <xdr:sp macro="" textlink="">
      <xdr:nvSpPr>
        <xdr:cNvPr id="14" name="Rectangle 13">
          <a:extLst>
            <a:ext uri="{FF2B5EF4-FFF2-40B4-BE49-F238E27FC236}">
              <a16:creationId xmlns:a16="http://schemas.microsoft.com/office/drawing/2014/main" id="{0254E12C-176D-46ED-945E-5E0655F2A0A2}"/>
            </a:ext>
          </a:extLst>
        </xdr:cNvPr>
        <xdr:cNvSpPr/>
      </xdr:nvSpPr>
      <xdr:spPr>
        <a:xfrm>
          <a:off x="8316612" y="107632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19</xdr:row>
      <xdr:rowOff>0</xdr:rowOff>
    </xdr:from>
    <xdr:to>
      <xdr:col>5</xdr:col>
      <xdr:colOff>0</xdr:colOff>
      <xdr:row>19</xdr:row>
      <xdr:rowOff>163375</xdr:rowOff>
    </xdr:to>
    <xdr:sp macro="" textlink="">
      <xdr:nvSpPr>
        <xdr:cNvPr id="15" name="Rectangle 14">
          <a:extLst>
            <a:ext uri="{FF2B5EF4-FFF2-40B4-BE49-F238E27FC236}">
              <a16:creationId xmlns:a16="http://schemas.microsoft.com/office/drawing/2014/main" id="{FF73BE62-C450-485B-B97C-04EA3FCC27F9}"/>
            </a:ext>
          </a:extLst>
        </xdr:cNvPr>
        <xdr:cNvSpPr/>
      </xdr:nvSpPr>
      <xdr:spPr>
        <a:xfrm>
          <a:off x="9297687" y="7934325"/>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twoCellAnchor>
    <xdr:from>
      <xdr:col>4</xdr:col>
      <xdr:colOff>820437</xdr:colOff>
      <xdr:row>20</xdr:row>
      <xdr:rowOff>0</xdr:rowOff>
    </xdr:from>
    <xdr:to>
      <xdr:col>5</xdr:col>
      <xdr:colOff>0</xdr:colOff>
      <xdr:row>20</xdr:row>
      <xdr:rowOff>163375</xdr:rowOff>
    </xdr:to>
    <xdr:sp macro="" textlink="">
      <xdr:nvSpPr>
        <xdr:cNvPr id="16" name="Rectangle 15">
          <a:extLst>
            <a:ext uri="{FF2B5EF4-FFF2-40B4-BE49-F238E27FC236}">
              <a16:creationId xmlns:a16="http://schemas.microsoft.com/office/drawing/2014/main" id="{DD39D049-CF43-4563-9D51-16F459E839BE}"/>
            </a:ext>
          </a:extLst>
        </xdr:cNvPr>
        <xdr:cNvSpPr/>
      </xdr:nvSpPr>
      <xdr:spPr>
        <a:xfrm>
          <a:off x="9297687" y="8248650"/>
          <a:ext cx="160638" cy="163375"/>
        </a:xfrm>
        <a:prstGeom prst="rect">
          <a:avLst/>
        </a:prstGeom>
        <a:solidFill>
          <a:schemeClr val="bg1">
            <a:lumMod val="8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1"/>
        <a:lstStyle/>
        <a:p>
          <a:pPr algn="l"/>
          <a:r>
            <a:rPr lang="en-US" sz="1200" b="1" cap="none" spc="0">
              <a:ln>
                <a:noFill/>
              </a:ln>
              <a:solidFill>
                <a:schemeClr val="tx1">
                  <a:lumMod val="75000"/>
                  <a:lumOff val="25000"/>
                </a:schemeClr>
              </a:solidFill>
              <a:effectLst/>
            </a:rPr>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en-us/help/214330/differences-between-the-1900-and-the-1904-date-system-in-excel"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Z89"/>
  <sheetViews>
    <sheetView topLeftCell="A83" zoomScaleNormal="100" workbookViewId="0">
      <selection activeCell="C44" sqref="C44:J44"/>
    </sheetView>
  </sheetViews>
  <sheetFormatPr baseColWidth="10" defaultColWidth="10.83203125" defaultRowHeight="25" customHeight="1" x14ac:dyDescent="0.2"/>
  <cols>
    <col min="1" max="1" width="10.83203125" style="62"/>
    <col min="2" max="26" width="8.6640625" style="62" customWidth="1"/>
    <col min="27" max="16384" width="10.83203125" style="62"/>
  </cols>
  <sheetData>
    <row r="1" spans="2:26" ht="115" customHeight="1" thickBot="1" x14ac:dyDescent="0.25">
      <c r="B1" s="209" t="s">
        <v>138</v>
      </c>
      <c r="C1" s="210"/>
      <c r="D1" s="210"/>
      <c r="E1" s="210"/>
      <c r="F1" s="210"/>
      <c r="G1" s="210"/>
      <c r="H1" s="210"/>
      <c r="I1" s="210"/>
      <c r="J1" s="210"/>
      <c r="K1" s="210"/>
      <c r="L1" s="210"/>
      <c r="M1" s="210"/>
      <c r="N1" s="210"/>
      <c r="O1" s="210"/>
      <c r="P1" s="210"/>
      <c r="Q1" s="210"/>
      <c r="R1" s="210"/>
      <c r="S1" s="210"/>
      <c r="T1" s="210"/>
      <c r="U1" s="210"/>
      <c r="V1" s="210"/>
      <c r="W1" s="210"/>
      <c r="X1" s="210"/>
      <c r="Y1" s="210"/>
      <c r="Z1" s="210"/>
    </row>
    <row r="2" spans="2:26" ht="20" customHeight="1" thickTop="1" x14ac:dyDescent="0.2">
      <c r="B2" s="71"/>
      <c r="C2" s="71"/>
      <c r="D2" s="71"/>
      <c r="E2" s="71"/>
      <c r="F2" s="71"/>
      <c r="G2" s="71"/>
      <c r="H2" s="71"/>
      <c r="I2" s="71"/>
      <c r="J2" s="71"/>
      <c r="K2" s="71"/>
      <c r="L2" s="71"/>
      <c r="M2" s="71"/>
      <c r="N2" s="71"/>
      <c r="O2" s="71"/>
      <c r="P2" s="71"/>
      <c r="Q2" s="71"/>
      <c r="R2" s="71"/>
      <c r="S2" s="71"/>
      <c r="T2" s="71"/>
      <c r="U2" s="71"/>
      <c r="V2" s="71"/>
      <c r="W2" s="71"/>
      <c r="X2" s="71"/>
      <c r="Y2" s="71"/>
      <c r="Z2" s="71"/>
    </row>
    <row r="3" spans="2:26" ht="20" customHeight="1" x14ac:dyDescent="0.2">
      <c r="B3" s="64"/>
      <c r="C3" s="211" t="s">
        <v>141</v>
      </c>
      <c r="D3" s="211"/>
      <c r="E3" s="211"/>
      <c r="F3" s="211"/>
      <c r="G3" s="211"/>
      <c r="H3" s="211"/>
      <c r="I3" s="211"/>
      <c r="J3" s="211"/>
      <c r="K3" s="211"/>
      <c r="L3" s="211"/>
      <c r="M3" s="211"/>
      <c r="N3" s="211"/>
      <c r="O3" s="211"/>
      <c r="P3" s="211"/>
      <c r="Q3" s="211"/>
      <c r="R3" s="211"/>
      <c r="S3" s="211"/>
      <c r="T3" s="211"/>
      <c r="U3" s="211"/>
      <c r="V3" s="211"/>
      <c r="W3" s="211"/>
      <c r="X3" s="211"/>
      <c r="Y3" s="211"/>
      <c r="Z3" s="64"/>
    </row>
    <row r="4" spans="2:26" ht="20" customHeight="1" x14ac:dyDescent="0.2">
      <c r="B4" s="65"/>
      <c r="C4" s="211"/>
      <c r="D4" s="211"/>
      <c r="E4" s="211"/>
      <c r="F4" s="211"/>
      <c r="G4" s="211"/>
      <c r="H4" s="211"/>
      <c r="I4" s="211"/>
      <c r="J4" s="211"/>
      <c r="K4" s="211"/>
      <c r="L4" s="211"/>
      <c r="M4" s="211"/>
      <c r="N4" s="211"/>
      <c r="O4" s="211"/>
      <c r="P4" s="211"/>
      <c r="Q4" s="211"/>
      <c r="R4" s="211"/>
      <c r="S4" s="211"/>
      <c r="T4" s="211"/>
      <c r="U4" s="211"/>
      <c r="V4" s="211"/>
      <c r="W4" s="211"/>
      <c r="X4" s="211"/>
      <c r="Y4" s="211"/>
      <c r="Z4" s="65"/>
    </row>
    <row r="5" spans="2:26" ht="20" customHeight="1" x14ac:dyDescent="0.2">
      <c r="B5" s="65"/>
      <c r="C5" s="64"/>
      <c r="D5" s="64"/>
      <c r="E5" s="64"/>
      <c r="F5" s="64"/>
      <c r="G5" s="64"/>
      <c r="H5" s="64"/>
      <c r="I5" s="64"/>
      <c r="J5" s="64"/>
      <c r="K5" s="64"/>
      <c r="L5" s="64"/>
      <c r="M5" s="64"/>
      <c r="N5" s="64"/>
      <c r="O5" s="64"/>
      <c r="P5" s="64"/>
      <c r="Q5" s="64"/>
      <c r="R5" s="64"/>
      <c r="S5" s="64"/>
      <c r="T5" s="64"/>
      <c r="U5" s="64"/>
      <c r="V5" s="64"/>
      <c r="W5" s="64"/>
      <c r="X5" s="64"/>
      <c r="Y5" s="65"/>
      <c r="Z5" s="65"/>
    </row>
    <row r="6" spans="2:26" ht="20" customHeight="1" x14ac:dyDescent="0.2">
      <c r="B6" s="66"/>
      <c r="C6" s="212" t="s">
        <v>135</v>
      </c>
      <c r="D6" s="212"/>
      <c r="E6" s="212"/>
      <c r="F6" s="212"/>
      <c r="G6" s="212"/>
      <c r="H6" s="212"/>
      <c r="I6" s="212"/>
      <c r="J6" s="212"/>
      <c r="K6" s="212"/>
      <c r="L6" s="212"/>
      <c r="M6" s="212"/>
      <c r="N6" s="212"/>
      <c r="O6" s="212"/>
      <c r="P6" s="212"/>
      <c r="Q6" s="212"/>
      <c r="R6" s="212"/>
      <c r="S6" s="212"/>
      <c r="T6" s="212"/>
      <c r="U6" s="212"/>
      <c r="V6" s="212"/>
      <c r="W6" s="212"/>
      <c r="X6" s="212"/>
      <c r="Y6" s="212"/>
      <c r="Z6" s="66"/>
    </row>
    <row r="7" spans="2:26" ht="20" customHeight="1" x14ac:dyDescent="0.2">
      <c r="B7" s="66"/>
      <c r="C7" s="67"/>
      <c r="D7" s="68"/>
      <c r="E7" s="68"/>
      <c r="F7" s="68"/>
      <c r="G7" s="68"/>
      <c r="H7" s="68"/>
      <c r="I7" s="68"/>
      <c r="J7" s="68"/>
      <c r="K7" s="68"/>
      <c r="L7" s="68"/>
      <c r="M7" s="68"/>
      <c r="N7" s="68"/>
      <c r="O7" s="68"/>
      <c r="P7" s="68"/>
      <c r="Q7" s="66"/>
      <c r="R7" s="66"/>
      <c r="S7" s="66"/>
      <c r="T7" s="66"/>
      <c r="U7" s="66"/>
      <c r="V7" s="66"/>
      <c r="W7" s="66"/>
      <c r="X7" s="66"/>
      <c r="Y7" s="66"/>
      <c r="Z7" s="66"/>
    </row>
    <row r="8" spans="2:26" ht="20" customHeight="1" x14ac:dyDescent="0.2">
      <c r="B8" s="66"/>
      <c r="C8" s="213" t="str">
        <f>"- The Sleep Diary is designed to complement The Path to Better Sleep Course."</f>
        <v>- The Sleep Diary is designed to complement The Path to Better Sleep Course.</v>
      </c>
      <c r="D8" s="213"/>
      <c r="E8" s="213"/>
      <c r="F8" s="213"/>
      <c r="G8" s="213"/>
      <c r="H8" s="213"/>
      <c r="I8" s="213"/>
      <c r="J8" s="213"/>
      <c r="K8" s="213"/>
      <c r="L8" s="213"/>
      <c r="M8" s="213"/>
      <c r="N8" s="213"/>
      <c r="O8" s="213"/>
      <c r="P8" s="213"/>
      <c r="Q8" s="213"/>
      <c r="R8" s="213"/>
      <c r="S8" s="213"/>
      <c r="T8" s="213"/>
      <c r="U8" s="213"/>
      <c r="V8" s="213"/>
      <c r="W8" s="213"/>
      <c r="X8" s="213"/>
      <c r="Y8" s="213"/>
      <c r="Z8" s="66"/>
    </row>
    <row r="9" spans="2:26" ht="20" customHeight="1" x14ac:dyDescent="0.2">
      <c r="B9" s="66"/>
      <c r="C9" s="213" t="str">
        <f>"- Complete each week of the Sleep Diary as you progress through each week of the course."</f>
        <v>- Complete each week of the Sleep Diary as you progress through each week of the course.</v>
      </c>
      <c r="D9" s="213"/>
      <c r="E9" s="213"/>
      <c r="F9" s="213"/>
      <c r="G9" s="213"/>
      <c r="H9" s="213"/>
      <c r="I9" s="213"/>
      <c r="J9" s="213"/>
      <c r="K9" s="213"/>
      <c r="L9" s="213"/>
      <c r="M9" s="213"/>
      <c r="N9" s="213"/>
      <c r="O9" s="213"/>
      <c r="P9" s="213"/>
      <c r="Q9" s="213"/>
      <c r="R9" s="213"/>
      <c r="S9" s="213"/>
      <c r="T9" s="213"/>
      <c r="U9" s="213"/>
      <c r="V9" s="213"/>
      <c r="W9" s="170"/>
      <c r="X9" s="170"/>
      <c r="Y9" s="170"/>
      <c r="Z9" s="66"/>
    </row>
    <row r="10" spans="2:26" ht="20" customHeight="1" x14ac:dyDescent="0.2">
      <c r="B10" s="66"/>
      <c r="C10" s="203" t="str">
        <f>"- This Sleep Diary only takes a few minutes each day to complete."</f>
        <v>- This Sleep Diary only takes a few minutes each day to complete.</v>
      </c>
      <c r="D10" s="203"/>
      <c r="E10" s="203"/>
      <c r="F10" s="203"/>
      <c r="G10" s="203"/>
      <c r="H10" s="203"/>
      <c r="I10" s="203"/>
      <c r="J10" s="203"/>
      <c r="K10" s="203"/>
      <c r="L10" s="203"/>
      <c r="M10" s="203"/>
      <c r="N10" s="203"/>
      <c r="O10" s="203"/>
      <c r="P10" s="203"/>
      <c r="Q10" s="203"/>
      <c r="R10" s="203"/>
      <c r="S10" s="203"/>
      <c r="T10" s="203"/>
      <c r="U10" s="203"/>
      <c r="V10" s="203"/>
      <c r="W10" s="203"/>
      <c r="X10" s="203"/>
      <c r="Y10" s="203"/>
      <c r="Z10" s="66"/>
    </row>
    <row r="11" spans="2:26" ht="20" customHeight="1" x14ac:dyDescent="0.2">
      <c r="B11" s="66"/>
      <c r="C11" s="203" t="str">
        <f>"- Times can be approximate. Do your best; it will get easier."</f>
        <v>- Times can be approximate. Do your best; it will get easier.</v>
      </c>
      <c r="D11" s="203"/>
      <c r="E11" s="203"/>
      <c r="F11" s="203"/>
      <c r="G11" s="203"/>
      <c r="H11" s="203"/>
      <c r="I11" s="203"/>
      <c r="J11" s="203"/>
      <c r="K11" s="203"/>
      <c r="L11" s="203"/>
      <c r="M11" s="203"/>
      <c r="N11" s="203"/>
      <c r="O11" s="203"/>
      <c r="P11" s="203"/>
      <c r="Q11" s="203"/>
      <c r="R11" s="203"/>
      <c r="S11" s="203"/>
      <c r="T11" s="203"/>
      <c r="U11" s="203"/>
      <c r="V11" s="203"/>
      <c r="W11" s="203"/>
      <c r="X11" s="203"/>
      <c r="Y11" s="203"/>
      <c r="Z11" s="66"/>
    </row>
    <row r="12" spans="2:26" ht="20" customHeight="1" x14ac:dyDescent="0.2">
      <c r="B12" s="66"/>
      <c r="C12" s="203" t="str">
        <f>"- Establish (or set) a time to enter your data every day."</f>
        <v>- Establish (or set) a time to enter your data every day.</v>
      </c>
      <c r="D12" s="203"/>
      <c r="E12" s="203"/>
      <c r="F12" s="203"/>
      <c r="G12" s="203"/>
      <c r="H12" s="203"/>
      <c r="I12" s="203"/>
      <c r="J12" s="203"/>
      <c r="K12" s="203"/>
      <c r="L12" s="203"/>
      <c r="M12" s="203"/>
      <c r="N12" s="203"/>
      <c r="O12" s="203"/>
      <c r="P12" s="203"/>
      <c r="Q12" s="203"/>
      <c r="R12" s="203"/>
      <c r="S12" s="203"/>
      <c r="T12" s="203"/>
      <c r="U12" s="203"/>
      <c r="V12" s="203"/>
      <c r="W12" s="203"/>
      <c r="X12" s="203"/>
      <c r="Y12" s="203"/>
      <c r="Z12" s="66"/>
    </row>
    <row r="13" spans="2:26" ht="20" customHeight="1" x14ac:dyDescent="0.2">
      <c r="B13" s="66"/>
      <c r="C13" s="202" t="str">
        <f>"- All times are in military time. You must type the colon in between the hour and minutes. "</f>
        <v xml:space="preserve">- All times are in military time. You must type the colon in between the hour and minutes. </v>
      </c>
      <c r="D13" s="202"/>
      <c r="E13" s="202"/>
      <c r="F13" s="202"/>
      <c r="G13" s="202"/>
      <c r="H13" s="202"/>
      <c r="I13" s="202"/>
      <c r="J13" s="202"/>
      <c r="K13" s="202"/>
      <c r="L13" s="202"/>
      <c r="M13" s="202"/>
      <c r="N13" s="202"/>
      <c r="O13" s="202"/>
      <c r="P13" s="202"/>
      <c r="Q13" s="202"/>
      <c r="R13" s="202"/>
      <c r="S13" s="202"/>
      <c r="T13" s="202"/>
      <c r="U13" s="202"/>
      <c r="V13" s="202"/>
      <c r="W13" s="202"/>
      <c r="X13" s="202"/>
      <c r="Y13" s="202"/>
      <c r="Z13" s="66"/>
    </row>
    <row r="14" spans="2:26" ht="20" customHeight="1" x14ac:dyDescent="0.2">
      <c r="B14" s="66"/>
      <c r="C14" s="203" t="str">
        <f>"- Complete every cell for each day. Skipping a cell can cause the calculations not to work correctly."</f>
        <v>- Complete every cell for each day. Skipping a cell can cause the calculations not to work correctly.</v>
      </c>
      <c r="D14" s="203"/>
      <c r="E14" s="203"/>
      <c r="F14" s="203"/>
      <c r="G14" s="203"/>
      <c r="H14" s="203"/>
      <c r="I14" s="203"/>
      <c r="J14" s="203"/>
      <c r="K14" s="203"/>
      <c r="L14" s="203"/>
      <c r="M14" s="203"/>
      <c r="N14" s="203"/>
      <c r="O14" s="203"/>
      <c r="P14" s="203"/>
      <c r="Q14" s="203"/>
      <c r="R14" s="203"/>
      <c r="S14" s="203"/>
      <c r="T14" s="203"/>
      <c r="U14" s="203"/>
      <c r="V14" s="203"/>
      <c r="W14" s="203"/>
      <c r="X14" s="203"/>
      <c r="Y14" s="203"/>
      <c r="Z14" s="66"/>
    </row>
    <row r="15" spans="2:26" ht="20" customHeight="1" x14ac:dyDescent="0.2">
      <c r="B15" s="66"/>
      <c r="C15" s="203" t="str">
        <f>"- This icon (    ) indicates the cell has additional information. Hover your mouse over it for explanations about the cell."</f>
        <v>- This icon (    ) indicates the cell has additional information. Hover your mouse over it for explanations about the cell.</v>
      </c>
      <c r="D15" s="203"/>
      <c r="E15" s="203"/>
      <c r="F15" s="203"/>
      <c r="G15" s="203"/>
      <c r="H15" s="203"/>
      <c r="I15" s="203"/>
      <c r="J15" s="203"/>
      <c r="K15" s="203"/>
      <c r="L15" s="203"/>
      <c r="M15" s="203"/>
      <c r="N15" s="203"/>
      <c r="O15" s="203"/>
      <c r="P15" s="203"/>
      <c r="Q15" s="203"/>
      <c r="R15" s="203"/>
      <c r="S15" s="203"/>
      <c r="T15" s="203"/>
      <c r="U15" s="203"/>
      <c r="V15" s="203"/>
      <c r="W15" s="203"/>
      <c r="X15" s="203"/>
      <c r="Y15" s="203"/>
      <c r="Z15" s="66"/>
    </row>
    <row r="16" spans="2:26" ht="20" customHeight="1" x14ac:dyDescent="0.2">
      <c r="B16" s="66"/>
      <c r="C16" s="72"/>
      <c r="D16" s="72"/>
      <c r="E16" s="72"/>
      <c r="F16" s="72"/>
      <c r="G16" s="72"/>
      <c r="H16" s="72"/>
      <c r="I16" s="72"/>
      <c r="J16" s="72"/>
      <c r="K16" s="72"/>
      <c r="L16" s="72"/>
      <c r="M16" s="69"/>
      <c r="N16" s="69"/>
      <c r="O16" s="69"/>
      <c r="P16" s="69"/>
      <c r="Q16" s="66"/>
      <c r="R16" s="66"/>
      <c r="S16" s="66"/>
      <c r="T16" s="66"/>
      <c r="U16" s="66"/>
      <c r="V16" s="66"/>
      <c r="W16" s="66"/>
      <c r="X16" s="66"/>
      <c r="Y16" s="66"/>
      <c r="Z16" s="66"/>
    </row>
    <row r="17" spans="2:26" s="142" customFormat="1" ht="20" customHeight="1" x14ac:dyDescent="0.25">
      <c r="B17" s="139"/>
      <c r="C17" s="140" t="s">
        <v>136</v>
      </c>
      <c r="D17" s="140"/>
      <c r="E17" s="140"/>
      <c r="F17" s="140"/>
      <c r="G17" s="140"/>
      <c r="H17" s="140"/>
      <c r="I17" s="141"/>
      <c r="J17" s="141"/>
      <c r="K17" s="141"/>
      <c r="L17" s="141"/>
      <c r="M17" s="141"/>
      <c r="N17" s="141"/>
      <c r="O17" s="141"/>
      <c r="P17" s="141"/>
      <c r="Q17" s="139"/>
      <c r="R17" s="139"/>
      <c r="S17" s="139"/>
      <c r="T17" s="139"/>
      <c r="U17" s="139"/>
      <c r="V17" s="139"/>
      <c r="W17" s="139"/>
      <c r="X17" s="139"/>
      <c r="Y17" s="139"/>
      <c r="Z17" s="139"/>
    </row>
    <row r="18" spans="2:26" ht="20" customHeight="1" x14ac:dyDescent="0.2">
      <c r="B18" s="66"/>
      <c r="C18" s="68"/>
      <c r="D18" s="68"/>
      <c r="E18" s="68"/>
      <c r="F18" s="68"/>
      <c r="G18" s="68"/>
      <c r="H18" s="68"/>
      <c r="I18" s="68"/>
      <c r="J18" s="68"/>
      <c r="K18" s="68"/>
      <c r="L18" s="68"/>
      <c r="M18" s="68"/>
      <c r="N18" s="68"/>
      <c r="O18" s="68"/>
      <c r="P18" s="68"/>
      <c r="Q18" s="66"/>
      <c r="R18" s="66"/>
      <c r="S18" s="66"/>
      <c r="T18" s="66"/>
      <c r="U18" s="66"/>
      <c r="V18" s="66"/>
      <c r="W18" s="66"/>
      <c r="X18" s="66"/>
      <c r="Y18" s="66"/>
      <c r="Z18" s="66"/>
    </row>
    <row r="19" spans="2:26" ht="20" customHeight="1" x14ac:dyDescent="0.2">
      <c r="B19" s="66"/>
      <c r="C19" s="194" t="s">
        <v>57</v>
      </c>
      <c r="D19" s="66"/>
      <c r="E19" s="66"/>
      <c r="F19" s="66"/>
      <c r="G19" s="66"/>
      <c r="H19" s="66"/>
      <c r="I19" s="66"/>
      <c r="J19" s="66"/>
      <c r="K19" s="66"/>
      <c r="L19" s="66"/>
      <c r="M19" s="66"/>
      <c r="N19" s="66"/>
      <c r="O19" s="66"/>
      <c r="P19" s="66"/>
      <c r="Q19" s="66"/>
      <c r="R19" s="66"/>
      <c r="S19" s="66"/>
      <c r="T19" s="66"/>
      <c r="U19" s="66"/>
      <c r="V19" s="66"/>
      <c r="W19" s="66"/>
      <c r="X19" s="66"/>
      <c r="Y19" s="66"/>
      <c r="Z19" s="66"/>
    </row>
    <row r="20" spans="2:26" ht="20" customHeight="1" x14ac:dyDescent="0.2">
      <c r="B20" s="66"/>
      <c r="C20" s="201" t="str">
        <f>"- Select the Week 1 tab."</f>
        <v>- Select the Week 1 tab.</v>
      </c>
      <c r="D20" s="201"/>
      <c r="E20" s="201"/>
      <c r="F20" s="201"/>
      <c r="G20" s="201"/>
      <c r="H20" s="201"/>
      <c r="I20" s="201"/>
      <c r="J20" s="201"/>
      <c r="K20" s="201"/>
      <c r="L20" s="201"/>
      <c r="M20" s="201"/>
      <c r="N20" s="201"/>
      <c r="O20" s="201"/>
      <c r="P20" s="201"/>
      <c r="Q20" s="66"/>
      <c r="R20" s="66"/>
      <c r="S20" s="66"/>
      <c r="T20" s="66"/>
      <c r="U20" s="66"/>
      <c r="V20" s="66"/>
      <c r="W20" s="66"/>
      <c r="X20" s="66"/>
      <c r="Y20" s="66"/>
      <c r="Z20" s="66"/>
    </row>
    <row r="21" spans="2:26" ht="20" customHeight="1" x14ac:dyDescent="0.2">
      <c r="B21" s="66"/>
      <c r="C21" s="201" t="str">
        <f>"- Begin entering your sleep data in Day 1."</f>
        <v>- Begin entering your sleep data in Day 1.</v>
      </c>
      <c r="D21" s="201"/>
      <c r="E21" s="201"/>
      <c r="F21" s="201"/>
      <c r="G21" s="201"/>
      <c r="H21" s="201"/>
      <c r="I21" s="201"/>
      <c r="J21" s="201"/>
      <c r="K21" s="201"/>
      <c r="L21" s="201"/>
      <c r="M21" s="201"/>
      <c r="N21" s="201"/>
      <c r="O21" s="201"/>
      <c r="P21" s="201"/>
      <c r="Q21" s="66"/>
      <c r="R21" s="66"/>
      <c r="S21" s="66"/>
      <c r="T21" s="66"/>
      <c r="U21" s="66"/>
      <c r="V21" s="66"/>
      <c r="W21" s="66"/>
      <c r="X21" s="66"/>
      <c r="Y21" s="66"/>
      <c r="Z21" s="66"/>
    </row>
    <row r="22" spans="2:26" ht="20" customHeight="1" x14ac:dyDescent="0.2">
      <c r="B22" s="66"/>
      <c r="C22" s="201" t="str">
        <f>"- Return every day and complete that day in the diary."</f>
        <v>- Return every day and complete that day in the diary.</v>
      </c>
      <c r="D22" s="201"/>
      <c r="E22" s="201"/>
      <c r="F22" s="201"/>
      <c r="G22" s="201"/>
      <c r="H22" s="201"/>
      <c r="I22" s="201"/>
      <c r="J22" s="201"/>
      <c r="K22" s="201"/>
      <c r="L22" s="201"/>
      <c r="M22" s="201"/>
      <c r="N22" s="201"/>
      <c r="O22" s="201"/>
      <c r="P22" s="201"/>
      <c r="Q22" s="66"/>
      <c r="R22" s="66"/>
      <c r="S22" s="66"/>
      <c r="T22" s="66"/>
      <c r="U22" s="66"/>
      <c r="V22" s="66"/>
      <c r="W22" s="66"/>
      <c r="X22" s="66"/>
      <c r="Y22" s="66"/>
      <c r="Z22" s="66"/>
    </row>
    <row r="23" spans="2:26" ht="20" customHeight="1" x14ac:dyDescent="0.2">
      <c r="B23" s="66"/>
      <c r="C23" s="201" t="str">
        <f>"- Once you have completed 5-7 days, advance to Week 2 to calculate your Sleep Prescription."</f>
        <v>- Once you have completed 5-7 days, advance to Week 2 to calculate your Sleep Prescription.</v>
      </c>
      <c r="D23" s="201"/>
      <c r="E23" s="201"/>
      <c r="F23" s="201"/>
      <c r="G23" s="201"/>
      <c r="H23" s="201"/>
      <c r="I23" s="201"/>
      <c r="J23" s="201"/>
      <c r="K23" s="201"/>
      <c r="L23" s="201"/>
      <c r="M23" s="201"/>
      <c r="N23" s="201"/>
      <c r="O23" s="201"/>
      <c r="P23" s="201"/>
      <c r="Q23" s="66"/>
      <c r="R23" s="66"/>
      <c r="S23" s="66"/>
      <c r="T23" s="66"/>
      <c r="U23" s="66"/>
      <c r="V23" s="66"/>
      <c r="W23" s="66"/>
      <c r="X23" s="66"/>
      <c r="Y23" s="66"/>
      <c r="Z23" s="66"/>
    </row>
    <row r="24" spans="2:26" ht="20" customHeight="1" x14ac:dyDescent="0.2">
      <c r="B24" s="66"/>
      <c r="C24" s="143"/>
      <c r="D24" s="143"/>
      <c r="E24" s="143"/>
      <c r="F24" s="143"/>
      <c r="G24" s="143"/>
      <c r="H24" s="143"/>
      <c r="I24" s="143"/>
      <c r="J24" s="143"/>
      <c r="K24" s="143"/>
      <c r="L24" s="143"/>
      <c r="M24" s="143"/>
      <c r="N24" s="143"/>
      <c r="O24" s="143"/>
      <c r="P24" s="143"/>
      <c r="Q24" s="66"/>
      <c r="R24" s="66"/>
      <c r="S24" s="66"/>
      <c r="T24" s="66"/>
      <c r="U24" s="66"/>
      <c r="V24" s="66"/>
      <c r="W24" s="66"/>
      <c r="X24" s="66"/>
      <c r="Y24" s="66"/>
      <c r="Z24" s="66"/>
    </row>
    <row r="25" spans="2:26" ht="20" customHeight="1" x14ac:dyDescent="0.2">
      <c r="B25" s="66"/>
      <c r="C25" s="195" t="s">
        <v>71</v>
      </c>
      <c r="D25" s="143"/>
      <c r="E25" s="143"/>
      <c r="F25" s="143"/>
      <c r="G25" s="143"/>
      <c r="H25" s="143"/>
      <c r="I25" s="143"/>
      <c r="J25" s="143"/>
      <c r="K25" s="143"/>
      <c r="L25" s="143"/>
      <c r="M25" s="143"/>
      <c r="N25" s="143"/>
      <c r="O25" s="143"/>
      <c r="P25" s="143"/>
      <c r="Q25" s="66"/>
      <c r="R25" s="66"/>
      <c r="S25" s="66"/>
      <c r="T25" s="66"/>
      <c r="U25" s="66"/>
      <c r="V25" s="66"/>
      <c r="W25" s="66"/>
      <c r="X25" s="66"/>
      <c r="Y25" s="66"/>
      <c r="Z25" s="66"/>
    </row>
    <row r="26" spans="2:26" ht="20" customHeight="1" x14ac:dyDescent="0.2">
      <c r="B26" s="66"/>
      <c r="C26" s="201" t="str">
        <f>"- Before you begin entering Week 2 information, calculate your Sleep Prescription."</f>
        <v>- Before you begin entering Week 2 information, calculate your Sleep Prescription.</v>
      </c>
      <c r="D26" s="201"/>
      <c r="E26" s="201"/>
      <c r="F26" s="201"/>
      <c r="G26" s="201"/>
      <c r="H26" s="201"/>
      <c r="I26" s="201"/>
      <c r="J26" s="201"/>
      <c r="K26" s="201"/>
      <c r="L26" s="201"/>
      <c r="M26" s="201"/>
      <c r="N26" s="201"/>
      <c r="O26" s="201"/>
      <c r="P26" s="201"/>
      <c r="Q26" s="66"/>
      <c r="R26" s="66"/>
      <c r="S26" s="66"/>
      <c r="T26" s="66"/>
      <c r="U26" s="66"/>
      <c r="V26" s="66"/>
      <c r="W26" s="66"/>
      <c r="X26" s="66"/>
      <c r="Y26" s="66"/>
      <c r="Z26" s="66"/>
    </row>
    <row r="27" spans="2:26" ht="20" customHeight="1" x14ac:dyDescent="0.2">
      <c r="B27" s="66"/>
      <c r="C27" s="201" t="str">
        <f>"- To calculate your Sleep Prescription, all you need to do is enter your Wake Time."</f>
        <v>- To calculate your Sleep Prescription, all you need to do is enter your Wake Time.</v>
      </c>
      <c r="D27" s="201"/>
      <c r="E27" s="201"/>
      <c r="F27" s="201"/>
      <c r="G27" s="201"/>
      <c r="H27" s="201"/>
      <c r="I27" s="201"/>
      <c r="J27" s="201"/>
      <c r="K27" s="201"/>
      <c r="L27" s="201"/>
      <c r="M27" s="201"/>
      <c r="N27" s="201"/>
      <c r="O27" s="201"/>
      <c r="P27" s="201"/>
      <c r="Q27" s="66"/>
      <c r="R27" s="66"/>
      <c r="S27" s="66"/>
      <c r="T27" s="66"/>
      <c r="U27" s="66"/>
      <c r="V27" s="66"/>
      <c r="W27" s="66"/>
      <c r="X27" s="66"/>
      <c r="Y27" s="66"/>
      <c r="Z27" s="66"/>
    </row>
    <row r="28" spans="2:26" ht="20" customHeight="1" x14ac:dyDescent="0.2">
      <c r="B28" s="66"/>
      <c r="C28" s="204" t="str">
        <f>"-- Select a Wake Time that works for you every day of the week, including weekends. "</f>
        <v xml:space="preserve">-- Select a Wake Time that works for you every day of the week, including weekends. </v>
      </c>
      <c r="D28" s="204"/>
      <c r="E28" s="204"/>
      <c r="F28" s="204"/>
      <c r="G28" s="204"/>
      <c r="H28" s="204"/>
      <c r="I28" s="204"/>
      <c r="J28" s="204"/>
      <c r="K28" s="204"/>
      <c r="L28" s="204"/>
      <c r="M28" s="204"/>
      <c r="N28" s="204"/>
      <c r="O28" s="204"/>
      <c r="P28" s="204"/>
      <c r="Q28" s="66"/>
      <c r="R28" s="66"/>
      <c r="S28" s="66"/>
      <c r="T28" s="66"/>
      <c r="U28" s="66"/>
      <c r="V28" s="66"/>
      <c r="W28" s="66"/>
      <c r="X28" s="66"/>
      <c r="Y28" s="66"/>
      <c r="Z28" s="66"/>
    </row>
    <row r="29" spans="2:26" ht="20" customHeight="1" x14ac:dyDescent="0.2">
      <c r="B29" s="66"/>
      <c r="C29" s="204" t="str">
        <f>"-- Your Wake Time should allow you enough time to wake up and meet your daily obligations — work, school, gym time, etc."</f>
        <v>-- Your Wake Time should allow you enough time to wake up and meet your daily obligations — work, school, gym time, etc.</v>
      </c>
      <c r="D29" s="204"/>
      <c r="E29" s="204"/>
      <c r="F29" s="204"/>
      <c r="G29" s="204"/>
      <c r="H29" s="204"/>
      <c r="I29" s="204"/>
      <c r="J29" s="204"/>
      <c r="K29" s="204"/>
      <c r="L29" s="204"/>
      <c r="M29" s="204"/>
      <c r="N29" s="204"/>
      <c r="O29" s="204"/>
      <c r="P29" s="204"/>
      <c r="Q29" s="66"/>
      <c r="R29" s="66"/>
      <c r="S29" s="66"/>
      <c r="T29" s="66"/>
      <c r="U29" s="66"/>
      <c r="V29" s="66"/>
      <c r="W29" s="66"/>
      <c r="X29" s="66"/>
      <c r="Y29" s="66"/>
      <c r="Z29" s="66"/>
    </row>
    <row r="30" spans="2:26" ht="20" customHeight="1" x14ac:dyDescent="0.2">
      <c r="B30" s="66"/>
      <c r="C30" s="201" t="str">
        <f>"- Complete your Sleep Diary the same way you did in Week 1."</f>
        <v>- Complete your Sleep Diary the same way you did in Week 1.</v>
      </c>
      <c r="D30" s="201"/>
      <c r="E30" s="201"/>
      <c r="F30" s="201"/>
      <c r="G30" s="201"/>
      <c r="H30" s="201"/>
      <c r="I30" s="201"/>
      <c r="J30" s="201"/>
      <c r="K30" s="201"/>
      <c r="L30" s="201"/>
      <c r="M30" s="201"/>
      <c r="N30" s="201"/>
      <c r="O30" s="201"/>
      <c r="P30" s="201"/>
      <c r="Q30" s="66"/>
      <c r="R30" s="66"/>
      <c r="S30" s="66"/>
      <c r="T30" s="66"/>
      <c r="U30" s="66"/>
      <c r="V30" s="66"/>
      <c r="W30" s="66"/>
      <c r="X30" s="66"/>
      <c r="Y30" s="66"/>
      <c r="Z30" s="66"/>
    </row>
    <row r="31" spans="2:26" ht="20" customHeight="1" x14ac:dyDescent="0.2">
      <c r="B31" s="66"/>
      <c r="C31" s="201" t="str">
        <f>"- Once you have completed 5-7 days, advance to Week 3 to modify your Sleep Prescription."</f>
        <v>- Once you have completed 5-7 days, advance to Week 3 to modify your Sleep Prescription.</v>
      </c>
      <c r="D31" s="201"/>
      <c r="E31" s="201"/>
      <c r="F31" s="201"/>
      <c r="G31" s="201"/>
      <c r="H31" s="201"/>
      <c r="I31" s="201"/>
      <c r="J31" s="201"/>
      <c r="K31" s="201"/>
      <c r="L31" s="201"/>
      <c r="M31" s="201"/>
      <c r="N31" s="201"/>
      <c r="O31" s="201"/>
      <c r="P31" s="201"/>
      <c r="Q31" s="66"/>
      <c r="R31" s="66"/>
      <c r="S31" s="66"/>
      <c r="T31" s="66"/>
      <c r="U31" s="66"/>
      <c r="V31" s="66"/>
      <c r="W31" s="66"/>
      <c r="X31" s="66"/>
      <c r="Y31" s="66"/>
      <c r="Z31" s="66"/>
    </row>
    <row r="32" spans="2:26" ht="20" customHeight="1" x14ac:dyDescent="0.2">
      <c r="B32" s="66"/>
      <c r="C32" s="143"/>
      <c r="D32" s="143"/>
      <c r="E32" s="143"/>
      <c r="F32" s="143"/>
      <c r="G32" s="143"/>
      <c r="H32" s="143"/>
      <c r="I32" s="143"/>
      <c r="J32" s="143"/>
      <c r="K32" s="143"/>
      <c r="L32" s="143"/>
      <c r="M32" s="143"/>
      <c r="N32" s="143"/>
      <c r="O32" s="143"/>
      <c r="P32" s="143"/>
      <c r="Q32" s="66"/>
      <c r="R32" s="66"/>
      <c r="S32" s="66"/>
      <c r="T32" s="66"/>
      <c r="U32" s="66"/>
      <c r="V32" s="66"/>
      <c r="W32" s="66"/>
      <c r="X32" s="66"/>
      <c r="Y32" s="66"/>
      <c r="Z32" s="66"/>
    </row>
    <row r="33" spans="2:26" ht="20" customHeight="1" x14ac:dyDescent="0.2">
      <c r="B33" s="66"/>
      <c r="C33" s="196" t="s">
        <v>142</v>
      </c>
      <c r="D33" s="143"/>
      <c r="E33" s="143"/>
      <c r="F33" s="143"/>
      <c r="G33" s="143"/>
      <c r="H33" s="143"/>
      <c r="I33" s="143"/>
      <c r="J33" s="143"/>
      <c r="K33" s="143"/>
      <c r="L33" s="143"/>
      <c r="M33" s="143"/>
      <c r="N33" s="143"/>
      <c r="O33" s="143"/>
      <c r="P33" s="143"/>
      <c r="Q33" s="66"/>
      <c r="R33" s="66"/>
      <c r="S33" s="66"/>
      <c r="T33" s="66"/>
      <c r="U33" s="66"/>
      <c r="V33" s="66"/>
      <c r="W33" s="66"/>
      <c r="X33" s="66"/>
      <c r="Y33" s="66"/>
      <c r="Z33" s="66"/>
    </row>
    <row r="34" spans="2:26" ht="20" customHeight="1" x14ac:dyDescent="0.2">
      <c r="B34" s="66"/>
      <c r="C34" s="201" t="str">
        <f>"- Before you begin entering data each week, modify your Sleep Prescription."</f>
        <v>- Before you begin entering data each week, modify your Sleep Prescription.</v>
      </c>
      <c r="D34" s="201"/>
      <c r="E34" s="201"/>
      <c r="F34" s="201"/>
      <c r="G34" s="201"/>
      <c r="H34" s="201"/>
      <c r="I34" s="201"/>
      <c r="J34" s="201"/>
      <c r="K34" s="201"/>
      <c r="L34" s="201"/>
      <c r="M34" s="201"/>
      <c r="N34" s="201"/>
      <c r="O34" s="201"/>
      <c r="P34" s="201"/>
      <c r="Q34" s="66"/>
      <c r="R34" s="66"/>
      <c r="S34" s="66"/>
      <c r="T34" s="66"/>
      <c r="U34" s="66"/>
      <c r="V34" s="66"/>
      <c r="W34" s="66"/>
      <c r="X34" s="66"/>
      <c r="Y34" s="66"/>
      <c r="Z34" s="66"/>
    </row>
    <row r="35" spans="2:26" ht="20" customHeight="1" x14ac:dyDescent="0.2">
      <c r="B35" s="66"/>
      <c r="C35" s="204" t="str">
        <f>"-- To modify your Sleep Prescription, answer the questions on the top of the page under Adjust Your Sleep Prescription. "</f>
        <v xml:space="preserve">-- To modify your Sleep Prescription, answer the questions on the top of the page under Adjust Your Sleep Prescription. </v>
      </c>
      <c r="D35" s="204"/>
      <c r="E35" s="204"/>
      <c r="F35" s="204"/>
      <c r="G35" s="204"/>
      <c r="H35" s="204"/>
      <c r="I35" s="204"/>
      <c r="J35" s="204"/>
      <c r="K35" s="204"/>
      <c r="L35" s="204"/>
      <c r="M35" s="204"/>
      <c r="N35" s="204"/>
      <c r="O35" s="204"/>
      <c r="P35" s="204"/>
      <c r="Q35" s="66"/>
      <c r="R35" s="66"/>
      <c r="S35" s="66"/>
      <c r="T35" s="66"/>
      <c r="U35" s="66"/>
      <c r="V35" s="66"/>
      <c r="W35" s="66"/>
      <c r="X35" s="66"/>
      <c r="Y35" s="66"/>
      <c r="Z35" s="66"/>
    </row>
    <row r="36" spans="2:26" ht="20" customHeight="1" x14ac:dyDescent="0.2">
      <c r="B36" s="66"/>
      <c r="C36" s="204" t="str">
        <f>"-- Based on how you answer the questions and your Sleep Efficiency from the previous week your Earliest Bedtime may change."</f>
        <v>-- Based on how you answer the questions and your Sleep Efficiency from the previous week your Earliest Bedtime may change.</v>
      </c>
      <c r="D36" s="204"/>
      <c r="E36" s="204"/>
      <c r="F36" s="204"/>
      <c r="G36" s="204"/>
      <c r="H36" s="204"/>
      <c r="I36" s="204"/>
      <c r="J36" s="204"/>
      <c r="K36" s="204"/>
      <c r="L36" s="204"/>
      <c r="M36" s="204"/>
      <c r="N36" s="204"/>
      <c r="O36" s="204"/>
      <c r="P36" s="204"/>
      <c r="Q36" s="66"/>
      <c r="R36" s="66"/>
      <c r="S36" s="66"/>
      <c r="T36" s="66"/>
      <c r="U36" s="66"/>
      <c r="V36" s="66"/>
      <c r="W36" s="66"/>
      <c r="X36" s="66"/>
      <c r="Y36" s="66"/>
      <c r="Z36" s="66"/>
    </row>
    <row r="37" spans="2:26" ht="20" customHeight="1" x14ac:dyDescent="0.2">
      <c r="B37" s="66"/>
      <c r="C37" s="201" t="str">
        <f>"- Once you have completed 5-7 days, you can advance to the next week."</f>
        <v>- Once you have completed 5-7 days, you can advance to the next week.</v>
      </c>
      <c r="D37" s="201"/>
      <c r="E37" s="201"/>
      <c r="F37" s="201"/>
      <c r="G37" s="201"/>
      <c r="H37" s="201"/>
      <c r="I37" s="201"/>
      <c r="J37" s="201"/>
      <c r="K37" s="201"/>
      <c r="L37" s="201"/>
      <c r="M37" s="201"/>
      <c r="N37" s="201"/>
      <c r="O37" s="201"/>
      <c r="P37" s="201"/>
      <c r="Q37" s="66"/>
      <c r="R37" s="66"/>
      <c r="S37" s="66"/>
      <c r="T37" s="66"/>
      <c r="U37" s="66"/>
      <c r="V37" s="66"/>
      <c r="W37" s="66"/>
      <c r="X37" s="66"/>
      <c r="Y37" s="66"/>
      <c r="Z37" s="66"/>
    </row>
    <row r="38" spans="2:26" ht="20" customHeight="1" x14ac:dyDescent="0.25">
      <c r="B38" s="66"/>
      <c r="C38" s="206"/>
      <c r="D38" s="206"/>
      <c r="E38" s="206"/>
      <c r="F38" s="206"/>
      <c r="G38" s="206"/>
      <c r="H38" s="206"/>
      <c r="I38" s="206"/>
      <c r="J38" s="206"/>
      <c r="K38" s="206"/>
      <c r="L38" s="206"/>
      <c r="M38" s="206"/>
      <c r="N38" s="206"/>
      <c r="O38" s="206"/>
      <c r="P38" s="206"/>
      <c r="Q38" s="66"/>
      <c r="R38" s="66"/>
      <c r="S38" s="66"/>
      <c r="T38" s="66"/>
      <c r="U38" s="66"/>
      <c r="V38" s="66"/>
      <c r="W38" s="66"/>
      <c r="X38" s="66"/>
      <c r="Y38" s="66"/>
      <c r="Z38" s="66"/>
    </row>
    <row r="39" spans="2:26" ht="20" customHeight="1" x14ac:dyDescent="0.25">
      <c r="B39" s="66"/>
      <c r="C39" s="206"/>
      <c r="D39" s="206"/>
      <c r="E39" s="206"/>
      <c r="F39" s="206"/>
      <c r="G39" s="206"/>
      <c r="H39" s="206"/>
      <c r="I39" s="206"/>
      <c r="J39" s="206"/>
      <c r="K39" s="206"/>
      <c r="L39" s="206"/>
      <c r="M39" s="206"/>
      <c r="N39" s="206"/>
      <c r="O39" s="206"/>
      <c r="P39" s="206"/>
      <c r="Q39" s="66"/>
      <c r="R39" s="66"/>
      <c r="S39" s="66"/>
      <c r="T39" s="66"/>
      <c r="U39" s="66"/>
      <c r="V39" s="66"/>
      <c r="W39" s="66"/>
      <c r="X39" s="66"/>
      <c r="Y39" s="66"/>
      <c r="Z39" s="66"/>
    </row>
    <row r="40" spans="2:26" ht="20" customHeight="1" x14ac:dyDescent="0.25">
      <c r="B40" s="70"/>
      <c r="C40" s="167" t="s">
        <v>147</v>
      </c>
      <c r="D40" s="70"/>
      <c r="E40" s="70"/>
      <c r="F40" s="70"/>
      <c r="G40" s="70"/>
      <c r="H40" s="70"/>
      <c r="I40" s="70"/>
      <c r="J40" s="70"/>
      <c r="K40" s="70"/>
      <c r="L40" s="70"/>
      <c r="M40" s="70"/>
      <c r="N40" s="70"/>
      <c r="O40" s="70"/>
      <c r="P40" s="206"/>
      <c r="Q40" s="206"/>
      <c r="R40" s="206"/>
      <c r="S40" s="206"/>
      <c r="T40" s="206"/>
      <c r="U40" s="66"/>
      <c r="V40" s="66"/>
      <c r="W40" s="66"/>
      <c r="X40" s="66"/>
      <c r="Y40" s="66"/>
      <c r="Z40" s="66"/>
    </row>
    <row r="41" spans="2:26" ht="20" customHeight="1" x14ac:dyDescent="0.25">
      <c r="B41" s="70"/>
      <c r="C41" s="70"/>
      <c r="D41" s="70"/>
      <c r="E41" s="70"/>
      <c r="F41" s="70"/>
      <c r="G41" s="70"/>
      <c r="H41" s="70"/>
      <c r="I41" s="70"/>
      <c r="J41" s="70"/>
      <c r="K41" s="70"/>
      <c r="L41" s="70"/>
      <c r="M41" s="70"/>
      <c r="N41" s="70"/>
      <c r="O41" s="70"/>
      <c r="P41" s="166"/>
      <c r="Q41" s="166"/>
      <c r="R41" s="166"/>
      <c r="S41" s="166"/>
      <c r="T41" s="166"/>
      <c r="U41" s="66"/>
      <c r="V41" s="66"/>
      <c r="W41" s="66"/>
      <c r="X41" s="66"/>
      <c r="Y41" s="66"/>
      <c r="Z41" s="66"/>
    </row>
    <row r="42" spans="2:26" ht="25" customHeight="1" x14ac:dyDescent="0.25">
      <c r="B42" s="70"/>
      <c r="C42" s="144" t="s">
        <v>148</v>
      </c>
      <c r="D42" s="144"/>
      <c r="E42" s="144"/>
      <c r="F42" s="144"/>
      <c r="G42" s="144"/>
      <c r="H42" s="144"/>
      <c r="I42" s="70"/>
      <c r="J42" s="70"/>
      <c r="K42" s="70"/>
      <c r="L42" s="70"/>
      <c r="M42" s="70"/>
      <c r="N42" s="70"/>
      <c r="O42" s="70"/>
      <c r="P42" s="206"/>
      <c r="Q42" s="206"/>
      <c r="R42" s="206"/>
      <c r="S42" s="206"/>
      <c r="T42" s="206"/>
      <c r="U42" s="66"/>
      <c r="V42" s="66"/>
      <c r="W42" s="66"/>
      <c r="X42" s="66"/>
      <c r="Y42" s="66"/>
      <c r="Z42" s="66"/>
    </row>
    <row r="43" spans="2:26" ht="25" customHeight="1" x14ac:dyDescent="0.25">
      <c r="B43" s="70"/>
      <c r="C43" s="207" t="str">
        <f>"   - Microsoft Excel supports two different date systems. These systems are the 1900 date system and the 1904 date system. For the diary to work correctly it should be set to the 1904 date system."</f>
        <v xml:space="preserve">   - Microsoft Excel supports two different date systems. These systems are the 1900 date system and the 1904 date system. For the diary to work correctly it should be set to the 1904 date system.</v>
      </c>
      <c r="D43" s="207"/>
      <c r="E43" s="207"/>
      <c r="F43" s="207"/>
      <c r="G43" s="207"/>
      <c r="H43" s="207"/>
      <c r="I43" s="207"/>
      <c r="J43" s="207"/>
      <c r="K43" s="207"/>
      <c r="L43" s="207"/>
      <c r="M43" s="207"/>
      <c r="N43" s="207"/>
      <c r="O43" s="207"/>
      <c r="P43" s="207"/>
      <c r="Q43" s="207"/>
      <c r="R43" s="207"/>
      <c r="S43" s="207"/>
      <c r="T43" s="207"/>
      <c r="U43" s="207"/>
      <c r="V43" s="207"/>
      <c r="W43" s="207"/>
      <c r="X43" s="207"/>
      <c r="Y43" s="207"/>
      <c r="Z43" s="66"/>
    </row>
    <row r="44" spans="2:26" ht="24.75" customHeight="1" x14ac:dyDescent="0.2">
      <c r="B44" s="66"/>
      <c r="C44" s="205" t="str">
        <f>"-- To learn more about this error or to change your date system click here."</f>
        <v>-- To learn more about this error or to change your date system click here.</v>
      </c>
      <c r="D44" s="205"/>
      <c r="E44" s="205"/>
      <c r="F44" s="205"/>
      <c r="G44" s="205"/>
      <c r="H44" s="205"/>
      <c r="I44" s="205"/>
      <c r="J44" s="205"/>
      <c r="K44" s="66"/>
      <c r="L44" s="66"/>
      <c r="M44" s="66"/>
      <c r="N44" s="66"/>
      <c r="O44" s="66"/>
      <c r="P44" s="66"/>
      <c r="Q44" s="168"/>
      <c r="R44" s="168"/>
      <c r="S44" s="168"/>
      <c r="T44" s="168"/>
      <c r="U44" s="168"/>
      <c r="V44" s="168"/>
      <c r="W44" s="168"/>
      <c r="X44" s="168"/>
      <c r="Y44" s="168"/>
      <c r="Z44" s="66"/>
    </row>
    <row r="45" spans="2:26" ht="28.5" customHeight="1" x14ac:dyDescent="0.2">
      <c r="B45" s="66"/>
      <c r="C45" s="66"/>
      <c r="D45" s="66"/>
      <c r="E45" s="66"/>
      <c r="F45" s="66"/>
      <c r="G45" s="66"/>
      <c r="H45" s="66"/>
      <c r="I45" s="66"/>
      <c r="J45" s="66"/>
      <c r="K45" s="66"/>
      <c r="L45" s="66"/>
      <c r="M45" s="66"/>
      <c r="N45" s="66"/>
      <c r="O45" s="66"/>
      <c r="P45" s="66"/>
      <c r="Q45" s="168"/>
      <c r="R45" s="168"/>
      <c r="S45" s="168"/>
      <c r="T45" s="168"/>
      <c r="U45" s="168"/>
      <c r="V45" s="168"/>
      <c r="W45" s="168"/>
      <c r="X45" s="168"/>
      <c r="Y45" s="168"/>
      <c r="Z45" s="66"/>
    </row>
    <row r="46" spans="2:26" ht="18.75" customHeight="1" x14ac:dyDescent="0.2">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2:26" ht="18.75" customHeight="1" x14ac:dyDescent="0.2">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2:26" ht="49" customHeight="1" x14ac:dyDescent="0.2">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2:20" ht="97" customHeight="1" x14ac:dyDescent="0.25">
      <c r="B49" s="208"/>
      <c r="C49" s="208"/>
      <c r="D49" s="208"/>
      <c r="E49" s="208"/>
      <c r="F49" s="208"/>
      <c r="G49" s="208"/>
      <c r="H49" s="208"/>
      <c r="I49" s="208"/>
      <c r="J49" s="208"/>
      <c r="K49" s="208"/>
      <c r="L49" s="208"/>
      <c r="M49" s="208"/>
      <c r="N49" s="208"/>
      <c r="O49" s="208"/>
      <c r="P49" s="208"/>
      <c r="Q49" s="208"/>
      <c r="R49" s="208"/>
      <c r="S49" s="208"/>
      <c r="T49" s="208"/>
    </row>
    <row r="50" spans="2:20" ht="75" customHeight="1" x14ac:dyDescent="0.25">
      <c r="B50" s="208"/>
      <c r="C50" s="208"/>
      <c r="D50" s="208"/>
      <c r="E50" s="208"/>
      <c r="F50" s="208"/>
      <c r="G50" s="208"/>
      <c r="H50" s="208"/>
      <c r="I50" s="208"/>
      <c r="J50" s="208"/>
      <c r="K50" s="208"/>
      <c r="L50" s="208"/>
      <c r="M50" s="208"/>
      <c r="N50" s="208"/>
      <c r="O50" s="208"/>
      <c r="P50" s="208"/>
      <c r="Q50" s="208"/>
      <c r="R50" s="208"/>
      <c r="S50" s="208"/>
      <c r="T50" s="208"/>
    </row>
    <row r="51" spans="2:20" ht="96" customHeight="1" x14ac:dyDescent="0.25">
      <c r="B51" s="208"/>
      <c r="C51" s="208"/>
      <c r="D51" s="208"/>
      <c r="E51" s="208"/>
      <c r="F51" s="208"/>
      <c r="G51" s="208"/>
      <c r="H51" s="208"/>
      <c r="I51" s="208"/>
      <c r="J51" s="208"/>
      <c r="K51" s="208"/>
      <c r="L51" s="208"/>
      <c r="M51" s="208"/>
      <c r="N51" s="208"/>
      <c r="O51" s="208"/>
      <c r="P51" s="208"/>
      <c r="Q51" s="208"/>
      <c r="R51" s="208"/>
      <c r="S51" s="208"/>
      <c r="T51" s="208"/>
    </row>
    <row r="52" spans="2:20" ht="74" customHeight="1" x14ac:dyDescent="0.25">
      <c r="B52" s="208"/>
      <c r="C52" s="208"/>
      <c r="D52" s="208"/>
      <c r="E52" s="208"/>
      <c r="F52" s="208"/>
      <c r="G52" s="208"/>
      <c r="H52" s="208"/>
      <c r="I52" s="208"/>
      <c r="J52" s="208"/>
      <c r="K52" s="208"/>
      <c r="L52" s="208"/>
      <c r="M52" s="208"/>
      <c r="N52" s="208"/>
      <c r="O52" s="208"/>
      <c r="P52" s="208"/>
      <c r="Q52" s="208"/>
      <c r="R52" s="208"/>
      <c r="S52" s="208"/>
      <c r="T52" s="208"/>
    </row>
    <row r="53" spans="2:20" ht="48" customHeight="1" x14ac:dyDescent="0.25">
      <c r="B53" s="208"/>
      <c r="C53" s="208"/>
      <c r="D53" s="208"/>
      <c r="E53" s="208"/>
      <c r="F53" s="208"/>
      <c r="G53" s="208"/>
      <c r="H53" s="208"/>
      <c r="I53" s="208"/>
      <c r="J53" s="208"/>
      <c r="K53" s="208"/>
      <c r="L53" s="208"/>
      <c r="M53" s="208"/>
      <c r="N53" s="208"/>
      <c r="O53" s="208"/>
      <c r="P53" s="208"/>
      <c r="Q53" s="208"/>
      <c r="R53" s="208"/>
      <c r="S53" s="208"/>
      <c r="T53" s="208"/>
    </row>
    <row r="54" spans="2:20" ht="25" customHeight="1" x14ac:dyDescent="0.25">
      <c r="B54" s="208"/>
      <c r="C54" s="208"/>
      <c r="D54" s="208"/>
      <c r="E54" s="208"/>
      <c r="F54" s="208"/>
      <c r="G54" s="208"/>
      <c r="H54" s="208"/>
      <c r="I54" s="208"/>
      <c r="J54" s="208"/>
      <c r="K54" s="208"/>
      <c r="L54" s="208"/>
      <c r="M54" s="208"/>
      <c r="N54" s="208"/>
      <c r="O54" s="208"/>
      <c r="P54" s="208"/>
      <c r="Q54" s="208"/>
      <c r="R54" s="208"/>
      <c r="S54" s="208"/>
      <c r="T54" s="208"/>
    </row>
    <row r="55" spans="2:20" ht="25" customHeight="1" x14ac:dyDescent="0.25">
      <c r="B55" s="208"/>
      <c r="C55" s="208"/>
      <c r="D55" s="208"/>
      <c r="E55" s="208"/>
      <c r="F55" s="208"/>
      <c r="G55" s="208"/>
      <c r="H55" s="208"/>
      <c r="I55" s="208"/>
      <c r="J55" s="208"/>
      <c r="K55" s="208"/>
      <c r="L55" s="208"/>
      <c r="M55" s="208"/>
      <c r="N55" s="208"/>
      <c r="O55" s="208"/>
      <c r="P55" s="208"/>
      <c r="Q55" s="208"/>
      <c r="R55" s="208"/>
      <c r="S55" s="208"/>
      <c r="T55" s="208"/>
    </row>
    <row r="56" spans="2:20" ht="25" customHeight="1" x14ac:dyDescent="0.25">
      <c r="B56" s="208"/>
      <c r="C56" s="208"/>
      <c r="D56" s="208"/>
      <c r="E56" s="208"/>
      <c r="F56" s="208"/>
      <c r="G56" s="208"/>
      <c r="H56" s="208"/>
      <c r="I56" s="208"/>
      <c r="J56" s="208"/>
      <c r="K56" s="208"/>
      <c r="L56" s="208"/>
      <c r="M56" s="208"/>
      <c r="N56" s="208"/>
      <c r="O56" s="208"/>
      <c r="P56" s="208"/>
      <c r="Q56" s="208"/>
      <c r="R56" s="208"/>
      <c r="S56" s="208"/>
      <c r="T56" s="208"/>
    </row>
    <row r="57" spans="2:20" ht="25" customHeight="1" x14ac:dyDescent="0.25">
      <c r="B57" s="208"/>
      <c r="C57" s="208"/>
      <c r="D57" s="208"/>
      <c r="E57" s="208"/>
      <c r="F57" s="208"/>
      <c r="G57" s="208"/>
      <c r="H57" s="208"/>
      <c r="I57" s="208"/>
      <c r="J57" s="208"/>
      <c r="K57" s="208"/>
      <c r="L57" s="208"/>
      <c r="M57" s="208"/>
      <c r="N57" s="208"/>
      <c r="O57" s="208"/>
      <c r="P57" s="208"/>
      <c r="Q57" s="208"/>
      <c r="R57" s="208"/>
      <c r="S57" s="208"/>
      <c r="T57" s="208"/>
    </row>
    <row r="58" spans="2:20" ht="25" customHeight="1" x14ac:dyDescent="0.25">
      <c r="B58" s="208"/>
      <c r="C58" s="208"/>
      <c r="D58" s="208"/>
      <c r="E58" s="208"/>
      <c r="F58" s="208"/>
      <c r="G58" s="208"/>
      <c r="H58" s="208"/>
      <c r="I58" s="208"/>
      <c r="J58" s="208"/>
      <c r="K58" s="208"/>
      <c r="L58" s="208"/>
      <c r="M58" s="208"/>
      <c r="N58" s="208"/>
      <c r="O58" s="208"/>
      <c r="P58" s="208"/>
      <c r="Q58" s="208"/>
      <c r="R58" s="208"/>
      <c r="S58" s="208"/>
      <c r="T58" s="208"/>
    </row>
    <row r="59" spans="2:20" ht="25" customHeight="1" x14ac:dyDescent="0.25">
      <c r="B59" s="208"/>
      <c r="C59" s="208"/>
      <c r="D59" s="208"/>
      <c r="E59" s="208"/>
      <c r="F59" s="208"/>
      <c r="G59" s="208"/>
      <c r="H59" s="208"/>
      <c r="I59" s="208"/>
      <c r="J59" s="208"/>
      <c r="K59" s="208"/>
      <c r="L59" s="208"/>
      <c r="M59" s="208"/>
      <c r="N59" s="208"/>
      <c r="O59" s="208"/>
      <c r="P59" s="208"/>
      <c r="Q59" s="208"/>
      <c r="R59" s="208"/>
      <c r="S59" s="208"/>
      <c r="T59" s="208"/>
    </row>
    <row r="60" spans="2:20" ht="25" customHeight="1" x14ac:dyDescent="0.25">
      <c r="B60" s="208"/>
      <c r="C60" s="208"/>
      <c r="D60" s="208"/>
      <c r="E60" s="208"/>
      <c r="F60" s="208"/>
      <c r="G60" s="208"/>
      <c r="H60" s="208"/>
      <c r="I60" s="208"/>
      <c r="J60" s="208"/>
      <c r="K60" s="208"/>
      <c r="L60" s="208"/>
      <c r="M60" s="208"/>
      <c r="N60" s="208"/>
      <c r="O60" s="208"/>
      <c r="P60" s="208"/>
      <c r="Q60" s="208"/>
      <c r="R60" s="208"/>
      <c r="S60" s="208"/>
      <c r="T60" s="208"/>
    </row>
    <row r="61" spans="2:20" ht="25" customHeight="1" x14ac:dyDescent="0.25">
      <c r="B61" s="208"/>
      <c r="C61" s="208"/>
      <c r="D61" s="208"/>
      <c r="E61" s="208"/>
      <c r="F61" s="208"/>
      <c r="G61" s="208"/>
      <c r="H61" s="208"/>
      <c r="I61" s="208"/>
      <c r="J61" s="208"/>
      <c r="K61" s="208"/>
      <c r="L61" s="208"/>
      <c r="M61" s="208"/>
      <c r="N61" s="208"/>
      <c r="O61" s="208"/>
      <c r="P61" s="208"/>
      <c r="Q61" s="208"/>
      <c r="R61" s="208"/>
      <c r="S61" s="208"/>
      <c r="T61" s="208"/>
    </row>
    <row r="62" spans="2:20" ht="25" customHeight="1" x14ac:dyDescent="0.25">
      <c r="B62" s="208"/>
      <c r="C62" s="208"/>
      <c r="D62" s="208"/>
      <c r="E62" s="208"/>
      <c r="F62" s="208"/>
      <c r="G62" s="208"/>
      <c r="H62" s="208"/>
      <c r="I62" s="208"/>
      <c r="J62" s="208"/>
      <c r="K62" s="208"/>
      <c r="L62" s="208"/>
      <c r="M62" s="208"/>
      <c r="N62" s="208"/>
      <c r="O62" s="208"/>
      <c r="P62" s="208"/>
      <c r="Q62" s="208"/>
      <c r="R62" s="208"/>
      <c r="S62" s="208"/>
      <c r="T62" s="208"/>
    </row>
    <row r="63" spans="2:20" ht="25" customHeight="1" x14ac:dyDescent="0.25">
      <c r="B63" s="208"/>
      <c r="C63" s="208"/>
      <c r="D63" s="208"/>
      <c r="E63" s="208"/>
      <c r="F63" s="208"/>
      <c r="G63" s="208"/>
      <c r="H63" s="208"/>
      <c r="I63" s="208"/>
      <c r="J63" s="208"/>
      <c r="K63" s="208"/>
      <c r="L63" s="208"/>
      <c r="M63" s="208"/>
      <c r="N63" s="208"/>
      <c r="O63" s="208"/>
      <c r="P63" s="208"/>
      <c r="Q63" s="208"/>
      <c r="R63" s="208"/>
      <c r="S63" s="208"/>
      <c r="T63" s="208"/>
    </row>
    <row r="64" spans="2:20" ht="25" customHeight="1" x14ac:dyDescent="0.25">
      <c r="B64" s="208"/>
      <c r="C64" s="208"/>
      <c r="D64" s="208"/>
      <c r="E64" s="208"/>
      <c r="F64" s="208"/>
      <c r="G64" s="208"/>
      <c r="H64" s="208"/>
      <c r="I64" s="208"/>
      <c r="J64" s="208"/>
      <c r="K64" s="208"/>
      <c r="L64" s="208"/>
      <c r="M64" s="208"/>
      <c r="N64" s="208"/>
      <c r="O64" s="208"/>
      <c r="P64" s="208"/>
      <c r="Q64" s="208"/>
      <c r="R64" s="208"/>
      <c r="S64" s="208"/>
      <c r="T64" s="208"/>
    </row>
    <row r="65" spans="2:20" ht="25" customHeight="1" x14ac:dyDescent="0.25">
      <c r="B65" s="208"/>
      <c r="C65" s="208"/>
      <c r="D65" s="208"/>
      <c r="E65" s="208"/>
      <c r="F65" s="208"/>
      <c r="G65" s="208"/>
      <c r="H65" s="208"/>
      <c r="I65" s="208"/>
      <c r="J65" s="208"/>
      <c r="K65" s="208"/>
      <c r="L65" s="208"/>
      <c r="M65" s="208"/>
      <c r="N65" s="208"/>
      <c r="O65" s="208"/>
      <c r="P65" s="208"/>
      <c r="Q65" s="208"/>
      <c r="R65" s="208"/>
      <c r="S65" s="208"/>
      <c r="T65" s="208"/>
    </row>
    <row r="66" spans="2:20" ht="25" customHeight="1" x14ac:dyDescent="0.25">
      <c r="B66" s="208"/>
      <c r="C66" s="208"/>
      <c r="D66" s="208"/>
      <c r="E66" s="208"/>
      <c r="F66" s="208"/>
      <c r="G66" s="208"/>
      <c r="H66" s="208"/>
      <c r="I66" s="208"/>
      <c r="J66" s="208"/>
      <c r="K66" s="208"/>
      <c r="L66" s="208"/>
      <c r="M66" s="208"/>
      <c r="N66" s="208"/>
      <c r="O66" s="208"/>
      <c r="P66" s="208"/>
      <c r="Q66" s="208"/>
      <c r="R66" s="208"/>
      <c r="S66" s="208"/>
      <c r="T66" s="208"/>
    </row>
    <row r="67" spans="2:20" ht="25" customHeight="1" x14ac:dyDescent="0.25">
      <c r="B67" s="208"/>
      <c r="C67" s="208"/>
      <c r="D67" s="208"/>
      <c r="E67" s="208"/>
      <c r="F67" s="208"/>
      <c r="G67" s="208"/>
      <c r="H67" s="208"/>
      <c r="I67" s="208"/>
      <c r="J67" s="208"/>
      <c r="K67" s="208"/>
      <c r="L67" s="208"/>
      <c r="M67" s="208"/>
      <c r="N67" s="208"/>
      <c r="O67" s="208"/>
      <c r="P67" s="208"/>
      <c r="Q67" s="208"/>
      <c r="R67" s="208"/>
      <c r="S67" s="208"/>
      <c r="T67" s="208"/>
    </row>
    <row r="68" spans="2:20" ht="25" customHeight="1" x14ac:dyDescent="0.25">
      <c r="B68" s="208"/>
      <c r="C68" s="208"/>
      <c r="D68" s="208"/>
      <c r="E68" s="208"/>
      <c r="F68" s="208"/>
      <c r="G68" s="208"/>
      <c r="H68" s="208"/>
      <c r="I68" s="208"/>
      <c r="J68" s="208"/>
      <c r="K68" s="208"/>
      <c r="L68" s="208"/>
      <c r="M68" s="208"/>
      <c r="N68" s="208"/>
      <c r="O68" s="208"/>
      <c r="P68" s="208"/>
      <c r="Q68" s="208"/>
      <c r="R68" s="208"/>
      <c r="S68" s="208"/>
      <c r="T68" s="208"/>
    </row>
    <row r="69" spans="2:20" ht="25" customHeight="1" x14ac:dyDescent="0.25">
      <c r="B69" s="208"/>
      <c r="C69" s="208"/>
      <c r="D69" s="208"/>
      <c r="E69" s="208"/>
      <c r="F69" s="208"/>
      <c r="G69" s="208"/>
      <c r="H69" s="208"/>
      <c r="I69" s="208"/>
      <c r="J69" s="208"/>
      <c r="K69" s="208"/>
      <c r="L69" s="208"/>
      <c r="M69" s="208"/>
      <c r="N69" s="208"/>
      <c r="O69" s="208"/>
      <c r="P69" s="208"/>
      <c r="Q69" s="208"/>
      <c r="R69" s="208"/>
      <c r="S69" s="208"/>
      <c r="T69" s="208"/>
    </row>
    <row r="70" spans="2:20" ht="25" customHeight="1" x14ac:dyDescent="0.25">
      <c r="B70" s="208"/>
      <c r="C70" s="208"/>
      <c r="D70" s="208"/>
      <c r="E70" s="208"/>
      <c r="F70" s="208"/>
      <c r="G70" s="208"/>
      <c r="H70" s="208"/>
      <c r="I70" s="208"/>
      <c r="J70" s="208"/>
      <c r="K70" s="208"/>
      <c r="L70" s="208"/>
      <c r="M70" s="208"/>
      <c r="N70" s="208"/>
      <c r="O70" s="208"/>
      <c r="P70" s="208"/>
      <c r="Q70" s="208"/>
      <c r="R70" s="208"/>
      <c r="S70" s="208"/>
      <c r="T70" s="208"/>
    </row>
    <row r="71" spans="2:20" ht="25" customHeight="1" x14ac:dyDescent="0.25">
      <c r="B71" s="208"/>
      <c r="C71" s="208"/>
      <c r="D71" s="208"/>
      <c r="E71" s="208"/>
      <c r="F71" s="208"/>
      <c r="G71" s="208"/>
      <c r="H71" s="208"/>
      <c r="I71" s="208"/>
      <c r="J71" s="208"/>
      <c r="K71" s="208"/>
      <c r="L71" s="208"/>
      <c r="M71" s="208"/>
      <c r="N71" s="208"/>
      <c r="O71" s="208"/>
      <c r="P71" s="208"/>
      <c r="Q71" s="208"/>
      <c r="R71" s="208"/>
      <c r="S71" s="208"/>
      <c r="T71" s="208"/>
    </row>
    <row r="72" spans="2:20" ht="25" customHeight="1" x14ac:dyDescent="0.25">
      <c r="B72" s="208"/>
      <c r="C72" s="208"/>
      <c r="D72" s="208"/>
      <c r="E72" s="208"/>
      <c r="F72" s="208"/>
      <c r="G72" s="208"/>
      <c r="H72" s="208"/>
      <c r="I72" s="208"/>
      <c r="J72" s="208"/>
      <c r="K72" s="208"/>
      <c r="L72" s="208"/>
      <c r="M72" s="208"/>
      <c r="N72" s="208"/>
      <c r="O72" s="208"/>
      <c r="P72" s="208"/>
      <c r="Q72" s="208"/>
      <c r="R72" s="208"/>
      <c r="S72" s="208"/>
      <c r="T72" s="208"/>
    </row>
    <row r="73" spans="2:20" ht="25" customHeight="1" x14ac:dyDescent="0.25">
      <c r="C73" s="63"/>
      <c r="D73" s="63"/>
      <c r="E73" s="63"/>
      <c r="F73" s="63"/>
      <c r="G73" s="63"/>
      <c r="H73" s="63"/>
      <c r="I73" s="63"/>
      <c r="J73" s="63"/>
      <c r="K73" s="63"/>
      <c r="L73" s="63"/>
      <c r="M73" s="63"/>
    </row>
    <row r="74" spans="2:20" ht="25" customHeight="1" x14ac:dyDescent="0.25">
      <c r="C74" s="63"/>
      <c r="D74" s="63"/>
      <c r="E74" s="63"/>
      <c r="F74" s="63"/>
      <c r="G74" s="63"/>
      <c r="H74" s="63"/>
      <c r="I74" s="63"/>
      <c r="J74" s="63"/>
      <c r="K74" s="63"/>
      <c r="L74" s="63"/>
      <c r="M74" s="63"/>
    </row>
    <row r="75" spans="2:20" ht="25" customHeight="1" x14ac:dyDescent="0.25">
      <c r="C75" s="63"/>
      <c r="D75" s="63"/>
      <c r="E75" s="63"/>
      <c r="F75" s="63"/>
      <c r="G75" s="63"/>
      <c r="H75" s="63"/>
      <c r="I75" s="63"/>
      <c r="J75" s="63"/>
      <c r="K75" s="63"/>
      <c r="L75" s="63"/>
      <c r="M75" s="63"/>
    </row>
    <row r="76" spans="2:20" ht="25" customHeight="1" x14ac:dyDescent="0.25">
      <c r="C76" s="63"/>
      <c r="D76" s="63"/>
      <c r="E76" s="63"/>
      <c r="F76" s="63"/>
      <c r="G76" s="63"/>
      <c r="H76" s="63"/>
      <c r="I76" s="63"/>
      <c r="J76" s="63"/>
      <c r="K76" s="63"/>
      <c r="L76" s="63"/>
      <c r="M76" s="63"/>
    </row>
    <row r="77" spans="2:20" ht="25" customHeight="1" x14ac:dyDescent="0.25">
      <c r="C77" s="63"/>
      <c r="D77" s="63"/>
      <c r="E77" s="63"/>
      <c r="F77" s="63"/>
      <c r="G77" s="63"/>
      <c r="H77" s="63"/>
      <c r="I77" s="63"/>
      <c r="J77" s="63"/>
      <c r="K77" s="63"/>
      <c r="L77" s="63"/>
      <c r="M77" s="63"/>
    </row>
    <row r="78" spans="2:20" ht="25" customHeight="1" x14ac:dyDescent="0.25">
      <c r="C78" s="63"/>
      <c r="D78" s="63"/>
      <c r="E78" s="63"/>
      <c r="F78" s="63"/>
      <c r="G78" s="63"/>
      <c r="H78" s="63"/>
      <c r="I78" s="63"/>
      <c r="J78" s="63"/>
      <c r="K78" s="63"/>
      <c r="L78" s="63"/>
      <c r="M78" s="63"/>
    </row>
    <row r="79" spans="2:20" ht="25" customHeight="1" x14ac:dyDescent="0.25">
      <c r="C79" s="63"/>
      <c r="D79" s="63"/>
      <c r="E79" s="63"/>
      <c r="F79" s="63"/>
      <c r="G79" s="63"/>
      <c r="H79" s="63"/>
      <c r="I79" s="63"/>
      <c r="J79" s="63"/>
      <c r="K79" s="63"/>
      <c r="L79" s="63"/>
      <c r="M79" s="63"/>
    </row>
    <row r="80" spans="2:20" ht="25" customHeight="1" x14ac:dyDescent="0.25">
      <c r="C80" s="63"/>
      <c r="D80" s="63"/>
      <c r="E80" s="63"/>
      <c r="F80" s="63"/>
      <c r="G80" s="63"/>
      <c r="H80" s="63"/>
      <c r="I80" s="63"/>
      <c r="J80" s="63"/>
      <c r="K80" s="63"/>
      <c r="L80" s="63"/>
      <c r="M80" s="63"/>
    </row>
    <row r="81" spans="3:13" ht="25" customHeight="1" x14ac:dyDescent="0.25">
      <c r="C81" s="63"/>
      <c r="D81" s="63"/>
      <c r="E81" s="63"/>
      <c r="F81" s="63"/>
      <c r="G81" s="63"/>
      <c r="H81" s="63"/>
      <c r="I81" s="63"/>
      <c r="J81" s="63"/>
      <c r="K81" s="63"/>
      <c r="L81" s="63"/>
      <c r="M81" s="63"/>
    </row>
    <row r="82" spans="3:13" ht="25" customHeight="1" x14ac:dyDescent="0.25">
      <c r="C82" s="63"/>
      <c r="D82" s="63"/>
      <c r="E82" s="63"/>
      <c r="F82" s="63"/>
      <c r="G82" s="63"/>
      <c r="H82" s="63"/>
      <c r="I82" s="63"/>
      <c r="J82" s="63"/>
      <c r="K82" s="63"/>
      <c r="L82" s="63"/>
      <c r="M82" s="63"/>
    </row>
    <row r="83" spans="3:13" ht="25" customHeight="1" x14ac:dyDescent="0.25">
      <c r="C83" s="63"/>
      <c r="D83" s="63"/>
      <c r="E83" s="63"/>
      <c r="F83" s="63"/>
      <c r="G83" s="63"/>
      <c r="H83" s="63"/>
      <c r="I83" s="63"/>
      <c r="J83" s="63"/>
      <c r="K83" s="63"/>
      <c r="L83" s="63"/>
      <c r="M83" s="63"/>
    </row>
    <row r="84" spans="3:13" ht="25" customHeight="1" x14ac:dyDescent="0.25">
      <c r="C84" s="63"/>
      <c r="D84" s="63"/>
      <c r="E84" s="63"/>
      <c r="F84" s="63"/>
      <c r="G84" s="63"/>
      <c r="H84" s="63"/>
      <c r="I84" s="63"/>
      <c r="J84" s="63"/>
      <c r="K84" s="63"/>
      <c r="L84" s="63"/>
      <c r="M84" s="63"/>
    </row>
    <row r="85" spans="3:13" ht="25" customHeight="1" x14ac:dyDescent="0.25">
      <c r="C85" s="63"/>
      <c r="D85" s="63"/>
      <c r="E85" s="63"/>
      <c r="F85" s="63"/>
      <c r="G85" s="63"/>
      <c r="H85" s="63"/>
      <c r="I85" s="63"/>
      <c r="J85" s="63"/>
      <c r="K85" s="63"/>
      <c r="L85" s="63"/>
      <c r="M85" s="63"/>
    </row>
    <row r="86" spans="3:13" ht="25" customHeight="1" x14ac:dyDescent="0.25">
      <c r="C86" s="63"/>
      <c r="D86" s="63"/>
      <c r="E86" s="63"/>
      <c r="F86" s="63"/>
      <c r="G86" s="63"/>
      <c r="H86" s="63"/>
      <c r="I86" s="63"/>
      <c r="J86" s="63"/>
      <c r="K86" s="63"/>
      <c r="L86" s="63"/>
      <c r="M86" s="63"/>
    </row>
    <row r="87" spans="3:13" ht="25" customHeight="1" x14ac:dyDescent="0.25">
      <c r="C87" s="63"/>
      <c r="D87" s="63"/>
      <c r="E87" s="63"/>
      <c r="F87" s="63"/>
      <c r="G87" s="63"/>
      <c r="H87" s="63"/>
      <c r="I87" s="63"/>
      <c r="J87" s="63"/>
      <c r="K87" s="63"/>
      <c r="L87" s="63"/>
      <c r="M87" s="63"/>
    </row>
    <row r="88" spans="3:13" ht="25" customHeight="1" x14ac:dyDescent="0.25">
      <c r="C88" s="63"/>
      <c r="D88" s="63"/>
      <c r="E88" s="63"/>
      <c r="F88" s="63"/>
      <c r="G88" s="63"/>
      <c r="H88" s="63"/>
      <c r="I88" s="63"/>
      <c r="J88" s="63"/>
      <c r="K88" s="63"/>
      <c r="L88" s="63"/>
      <c r="M88" s="63"/>
    </row>
    <row r="89" spans="3:13" ht="25" customHeight="1" x14ac:dyDescent="0.25">
      <c r="C89" s="63"/>
      <c r="D89" s="63"/>
      <c r="E89" s="63"/>
      <c r="F89" s="63"/>
      <c r="G89" s="63"/>
      <c r="H89" s="63"/>
      <c r="I89" s="63"/>
      <c r="J89" s="63"/>
      <c r="K89" s="63"/>
      <c r="L89" s="63"/>
      <c r="M89" s="63"/>
    </row>
  </sheetData>
  <mergeCells count="79">
    <mergeCell ref="C6:Y6"/>
    <mergeCell ref="C8:Y8"/>
    <mergeCell ref="C10:Y10"/>
    <mergeCell ref="C11:Y11"/>
    <mergeCell ref="C12:Y12"/>
    <mergeCell ref="C9:V9"/>
    <mergeCell ref="B72:O72"/>
    <mergeCell ref="P72:T72"/>
    <mergeCell ref="B1:Z1"/>
    <mergeCell ref="C3:Y4"/>
    <mergeCell ref="B69:O69"/>
    <mergeCell ref="P69:T69"/>
    <mergeCell ref="B70:O70"/>
    <mergeCell ref="P70:T70"/>
    <mergeCell ref="B71:O71"/>
    <mergeCell ref="P71:T71"/>
    <mergeCell ref="P66:T66"/>
    <mergeCell ref="B67:O67"/>
    <mergeCell ref="P67:T67"/>
    <mergeCell ref="B68:O68"/>
    <mergeCell ref="P68:T68"/>
    <mergeCell ref="P63:T63"/>
    <mergeCell ref="P64:T64"/>
    <mergeCell ref="B65:O65"/>
    <mergeCell ref="P65:T65"/>
    <mergeCell ref="P60:T60"/>
    <mergeCell ref="B61:O61"/>
    <mergeCell ref="P61:T61"/>
    <mergeCell ref="B62:O62"/>
    <mergeCell ref="P62:T62"/>
    <mergeCell ref="B60:O60"/>
    <mergeCell ref="B63:O63"/>
    <mergeCell ref="P57:T57"/>
    <mergeCell ref="B58:O58"/>
    <mergeCell ref="P58:T58"/>
    <mergeCell ref="B59:O59"/>
    <mergeCell ref="P59:T59"/>
    <mergeCell ref="P54:T54"/>
    <mergeCell ref="B55:O55"/>
    <mergeCell ref="P55:T55"/>
    <mergeCell ref="B56:O56"/>
    <mergeCell ref="P56:T56"/>
    <mergeCell ref="P49:T49"/>
    <mergeCell ref="P50:T50"/>
    <mergeCell ref="P51:T51"/>
    <mergeCell ref="P52:T52"/>
    <mergeCell ref="B53:O53"/>
    <mergeCell ref="P53:T53"/>
    <mergeCell ref="B66:O66"/>
    <mergeCell ref="B57:O57"/>
    <mergeCell ref="B49:O49"/>
    <mergeCell ref="B50:O50"/>
    <mergeCell ref="B51:O51"/>
    <mergeCell ref="B52:O52"/>
    <mergeCell ref="B54:O54"/>
    <mergeCell ref="B64:O64"/>
    <mergeCell ref="C44:J44"/>
    <mergeCell ref="C36:P36"/>
    <mergeCell ref="C37:P37"/>
    <mergeCell ref="C38:P38"/>
    <mergeCell ref="C39:P39"/>
    <mergeCell ref="C43:Y43"/>
    <mergeCell ref="P40:T40"/>
    <mergeCell ref="P42:T42"/>
    <mergeCell ref="C34:P34"/>
    <mergeCell ref="C35:P35"/>
    <mergeCell ref="C26:P26"/>
    <mergeCell ref="C27:P27"/>
    <mergeCell ref="C28:P28"/>
    <mergeCell ref="C29:P29"/>
    <mergeCell ref="C30:P30"/>
    <mergeCell ref="C31:P31"/>
    <mergeCell ref="C21:P21"/>
    <mergeCell ref="C22:P22"/>
    <mergeCell ref="C23:P23"/>
    <mergeCell ref="C13:Y13"/>
    <mergeCell ref="C14:Y14"/>
    <mergeCell ref="C15:Y15"/>
    <mergeCell ref="C20:P20"/>
  </mergeCells>
  <hyperlinks>
    <hyperlink ref="C44:J44" r:id="rId1" tooltip="Hyperlink" display="https://support.microsoft.com/en-us/help/214330/differences-between-the-1900-and-the-1904-date-system-in-excel" xr:uid="{00000000-0004-0000-0000-000000000000}"/>
  </hyperlinks>
  <pageMargins left="0.7" right="0.7" top="0.75" bottom="0.75" header="0.3" footer="0.3"/>
  <pageSetup scale="26"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2"/>
  <sheetViews>
    <sheetView showGridLines="0" tabSelected="1" zoomScaleNormal="100" workbookViewId="0">
      <selection activeCell="C16" sqref="C16:L16"/>
    </sheetView>
  </sheetViews>
  <sheetFormatPr baseColWidth="10" defaultColWidth="10.83203125" defaultRowHeight="25" customHeight="1" x14ac:dyDescent="0.2"/>
  <cols>
    <col min="1" max="1" width="10.83203125" style="3"/>
    <col min="2" max="2" width="10.1640625" style="3" customWidth="1"/>
    <col min="3" max="3" width="5.5" style="3" customWidth="1"/>
    <col min="4" max="4" width="85.6640625" style="3" customWidth="1"/>
    <col min="5" max="12" width="12.6640625" style="3" customWidth="1"/>
    <col min="13" max="13" width="10.1640625" style="3" customWidth="1"/>
    <col min="14" max="14" width="10.83203125" style="3" customWidth="1"/>
    <col min="15" max="16384" width="10.83203125" style="3"/>
  </cols>
  <sheetData>
    <row r="1" spans="1:15" ht="115" customHeight="1" thickBot="1" x14ac:dyDescent="0.25">
      <c r="B1" s="209" t="s">
        <v>57</v>
      </c>
      <c r="C1" s="209"/>
      <c r="D1" s="209"/>
      <c r="E1" s="209"/>
      <c r="F1" s="209"/>
      <c r="G1" s="209"/>
      <c r="H1" s="209"/>
      <c r="I1" s="209"/>
      <c r="J1" s="209"/>
      <c r="K1" s="209"/>
      <c r="L1" s="209"/>
      <c r="M1" s="209"/>
    </row>
    <row r="2" spans="1:15" ht="20" customHeight="1" thickTop="1" thickBot="1" x14ac:dyDescent="0.25">
      <c r="A2" s="4"/>
      <c r="B2" s="73"/>
      <c r="C2" s="75"/>
      <c r="D2" s="73"/>
      <c r="E2" s="73"/>
      <c r="F2" s="73"/>
      <c r="G2" s="73"/>
      <c r="H2" s="73"/>
      <c r="I2" s="73"/>
      <c r="J2" s="73"/>
      <c r="K2" s="73"/>
      <c r="L2" s="73"/>
      <c r="M2" s="73"/>
    </row>
    <row r="3" spans="1:15" ht="40" customHeight="1" thickTop="1" thickBot="1" x14ac:dyDescent="0.25">
      <c r="B3" s="73"/>
      <c r="C3" s="214" t="s">
        <v>24</v>
      </c>
      <c r="D3" s="215"/>
      <c r="E3" s="77" t="s">
        <v>58</v>
      </c>
      <c r="F3" s="78" t="s">
        <v>17</v>
      </c>
      <c r="G3" s="78" t="s">
        <v>18</v>
      </c>
      <c r="H3" s="78" t="s">
        <v>19</v>
      </c>
      <c r="I3" s="78" t="s">
        <v>20</v>
      </c>
      <c r="J3" s="78" t="s">
        <v>21</v>
      </c>
      <c r="K3" s="78" t="s">
        <v>22</v>
      </c>
      <c r="L3" s="79" t="s">
        <v>23</v>
      </c>
      <c r="M3" s="73"/>
      <c r="N3" s="47"/>
      <c r="O3" s="46"/>
    </row>
    <row r="4" spans="1:15" ht="25" customHeight="1" thickTop="1" x14ac:dyDescent="0.2">
      <c r="B4" s="73"/>
      <c r="C4" s="88" t="s">
        <v>7</v>
      </c>
      <c r="D4" s="116" t="s">
        <v>0</v>
      </c>
      <c r="E4" s="110">
        <v>40544</v>
      </c>
      <c r="F4" s="58">
        <v>39405</v>
      </c>
      <c r="G4" s="58"/>
      <c r="H4" s="58"/>
      <c r="I4" s="58"/>
      <c r="J4" s="58"/>
      <c r="K4" s="58"/>
      <c r="L4" s="59"/>
      <c r="M4" s="73"/>
      <c r="N4" s="6"/>
      <c r="O4" s="6"/>
    </row>
    <row r="5" spans="1:15" ht="25" customHeight="1" x14ac:dyDescent="0.2">
      <c r="B5" s="73"/>
      <c r="C5" s="89" t="s">
        <v>8</v>
      </c>
      <c r="D5" s="117" t="s">
        <v>25</v>
      </c>
      <c r="E5" s="111">
        <v>30</v>
      </c>
      <c r="F5" s="31"/>
      <c r="G5" s="31"/>
      <c r="H5" s="31"/>
      <c r="I5" s="31"/>
      <c r="J5" s="31"/>
      <c r="K5" s="31"/>
      <c r="L5" s="32"/>
      <c r="M5" s="73"/>
      <c r="N5" s="7"/>
      <c r="O5" s="7"/>
    </row>
    <row r="6" spans="1:15" ht="25" customHeight="1" x14ac:dyDescent="0.2">
      <c r="B6" s="73"/>
      <c r="C6" s="90" t="s">
        <v>9</v>
      </c>
      <c r="D6" s="118" t="s">
        <v>1</v>
      </c>
      <c r="E6" s="112">
        <v>0.97916666666666663</v>
      </c>
      <c r="F6" s="23">
        <v>0.97916666666666663</v>
      </c>
      <c r="G6" s="23"/>
      <c r="H6" s="23"/>
      <c r="I6" s="23"/>
      <c r="J6" s="23"/>
      <c r="K6" s="23"/>
      <c r="L6" s="24"/>
      <c r="M6" s="73"/>
      <c r="N6" s="7"/>
      <c r="O6" s="7"/>
    </row>
    <row r="7" spans="1:15" ht="25" customHeight="1" x14ac:dyDescent="0.2">
      <c r="B7" s="73"/>
      <c r="C7" s="89" t="s">
        <v>10</v>
      </c>
      <c r="D7" s="117" t="s">
        <v>2</v>
      </c>
      <c r="E7" s="113">
        <v>0.98958333333333337</v>
      </c>
      <c r="F7" s="33">
        <v>0.97916666666666663</v>
      </c>
      <c r="G7" s="33"/>
      <c r="H7" s="33"/>
      <c r="I7" s="33"/>
      <c r="J7" s="33"/>
      <c r="K7" s="33"/>
      <c r="L7" s="34"/>
      <c r="M7" s="73"/>
      <c r="N7" s="7"/>
      <c r="O7" s="7"/>
    </row>
    <row r="8" spans="1:15" ht="25" customHeight="1" x14ac:dyDescent="0.2">
      <c r="B8" s="73"/>
      <c r="C8" s="91" t="s">
        <v>11</v>
      </c>
      <c r="D8" s="119" t="s">
        <v>16</v>
      </c>
      <c r="E8" s="114">
        <v>30</v>
      </c>
      <c r="F8" s="27">
        <v>2</v>
      </c>
      <c r="G8" s="27"/>
      <c r="H8" s="27"/>
      <c r="I8" s="27"/>
      <c r="J8" s="27"/>
      <c r="K8" s="27"/>
      <c r="L8" s="28"/>
      <c r="M8" s="73"/>
      <c r="N8" s="8"/>
      <c r="O8" s="8"/>
    </row>
    <row r="9" spans="1:15" ht="25" customHeight="1" x14ac:dyDescent="0.2">
      <c r="B9" s="73"/>
      <c r="C9" s="92" t="s">
        <v>12</v>
      </c>
      <c r="D9" s="120" t="s">
        <v>3</v>
      </c>
      <c r="E9" s="111">
        <v>2</v>
      </c>
      <c r="F9" s="31">
        <v>5</v>
      </c>
      <c r="G9" s="31"/>
      <c r="H9" s="31"/>
      <c r="I9" s="31"/>
      <c r="J9" s="31"/>
      <c r="K9" s="31"/>
      <c r="L9" s="32"/>
      <c r="M9" s="73"/>
      <c r="N9" s="8"/>
      <c r="O9" s="8"/>
    </row>
    <row r="10" spans="1:15" ht="25" customHeight="1" x14ac:dyDescent="0.2">
      <c r="A10" s="138"/>
      <c r="B10" s="73"/>
      <c r="C10" s="90" t="s">
        <v>13</v>
      </c>
      <c r="D10" s="118" t="s">
        <v>4</v>
      </c>
      <c r="E10" s="114">
        <v>60</v>
      </c>
      <c r="F10" s="39"/>
      <c r="G10" s="39"/>
      <c r="H10" s="39"/>
      <c r="I10" s="39"/>
      <c r="J10" s="39"/>
      <c r="K10" s="39"/>
      <c r="L10" s="40"/>
      <c r="M10" s="73"/>
      <c r="N10" s="7"/>
      <c r="O10" s="7"/>
    </row>
    <row r="11" spans="1:15" ht="25" customHeight="1" x14ac:dyDescent="0.2">
      <c r="B11" s="73"/>
      <c r="C11" s="92" t="s">
        <v>14</v>
      </c>
      <c r="D11" s="120" t="s">
        <v>5</v>
      </c>
      <c r="E11" s="113">
        <v>0.29166666666666669</v>
      </c>
      <c r="F11" s="33">
        <v>0.27083333333333331</v>
      </c>
      <c r="G11" s="33"/>
      <c r="H11" s="33"/>
      <c r="I11" s="33"/>
      <c r="J11" s="33"/>
      <c r="K11" s="33"/>
      <c r="L11" s="34"/>
      <c r="M11" s="73"/>
      <c r="N11" s="8"/>
      <c r="O11" s="8"/>
    </row>
    <row r="12" spans="1:15" ht="25" customHeight="1" x14ac:dyDescent="0.2">
      <c r="B12" s="73"/>
      <c r="C12" s="90" t="s">
        <v>15</v>
      </c>
      <c r="D12" s="118" t="s">
        <v>6</v>
      </c>
      <c r="E12" s="112">
        <v>0.33333333333333331</v>
      </c>
      <c r="F12" s="23">
        <v>6.3</v>
      </c>
      <c r="G12" s="23"/>
      <c r="H12" s="23"/>
      <c r="I12" s="23"/>
      <c r="J12" s="23"/>
      <c r="K12" s="23"/>
      <c r="L12" s="24"/>
      <c r="M12" s="73"/>
      <c r="N12" s="7"/>
      <c r="O12" s="7"/>
    </row>
    <row r="13" spans="1:15" ht="25" customHeight="1" x14ac:dyDescent="0.2">
      <c r="B13" s="73"/>
      <c r="C13" s="93" t="s">
        <v>26</v>
      </c>
      <c r="D13" s="165" t="s">
        <v>146</v>
      </c>
      <c r="E13" s="111">
        <v>30</v>
      </c>
      <c r="F13" s="31">
        <v>0</v>
      </c>
      <c r="G13" s="31"/>
      <c r="H13" s="31"/>
      <c r="I13" s="31"/>
      <c r="J13" s="31"/>
      <c r="K13" s="31"/>
      <c r="L13" s="32"/>
      <c r="M13" s="73"/>
      <c r="N13" s="7"/>
      <c r="O13" s="7"/>
    </row>
    <row r="14" spans="1:15" ht="25" customHeight="1" thickBot="1" x14ac:dyDescent="0.25">
      <c r="B14" s="73"/>
      <c r="C14" s="94" t="s">
        <v>104</v>
      </c>
      <c r="D14" s="121" t="s">
        <v>105</v>
      </c>
      <c r="E14" s="115" t="s">
        <v>109</v>
      </c>
      <c r="F14" s="108" t="s">
        <v>109</v>
      </c>
      <c r="G14" s="108"/>
      <c r="H14" s="108"/>
      <c r="I14" s="108"/>
      <c r="J14" s="108"/>
      <c r="K14" s="108"/>
      <c r="L14" s="109"/>
      <c r="M14" s="73"/>
      <c r="N14" s="7"/>
      <c r="O14" s="7"/>
    </row>
    <row r="15" spans="1:15" ht="25" hidden="1" customHeight="1" x14ac:dyDescent="0.2">
      <c r="B15" s="73"/>
      <c r="C15" s="86"/>
      <c r="D15" s="30" t="s">
        <v>70</v>
      </c>
      <c r="E15" s="37">
        <v>0.85</v>
      </c>
      <c r="F15" s="37">
        <v>0.85</v>
      </c>
      <c r="G15" s="37">
        <v>0.85</v>
      </c>
      <c r="H15" s="37">
        <v>0.85</v>
      </c>
      <c r="I15" s="37">
        <v>0.85</v>
      </c>
      <c r="J15" s="37">
        <v>0.85</v>
      </c>
      <c r="K15" s="37">
        <v>0.85</v>
      </c>
      <c r="L15" s="95">
        <v>0.85</v>
      </c>
      <c r="M15" s="73"/>
      <c r="N15" s="7"/>
      <c r="O15" s="7"/>
    </row>
    <row r="16" spans="1:15" ht="40" customHeight="1" thickTop="1" thickBot="1" x14ac:dyDescent="0.25">
      <c r="B16" s="73"/>
      <c r="C16" s="217" t="s">
        <v>139</v>
      </c>
      <c r="D16" s="218"/>
      <c r="E16" s="218"/>
      <c r="F16" s="218"/>
      <c r="G16" s="218"/>
      <c r="H16" s="218"/>
      <c r="I16" s="218"/>
      <c r="J16" s="218"/>
      <c r="K16" s="218"/>
      <c r="L16" s="219"/>
      <c r="M16" s="73"/>
      <c r="N16" s="9"/>
      <c r="O16" s="5"/>
    </row>
    <row r="17" spans="2:15" ht="25" customHeight="1" thickTop="1" x14ac:dyDescent="0.2">
      <c r="B17" s="73"/>
      <c r="C17" s="122"/>
      <c r="D17" s="185" t="s">
        <v>113</v>
      </c>
      <c r="E17" s="186">
        <f>calculations!D24</f>
        <v>0.34374999999999989</v>
      </c>
      <c r="F17" s="186">
        <f>calculations!E24</f>
        <v>5.3208333333333329</v>
      </c>
      <c r="G17" s="186">
        <f>calculations!F24</f>
        <v>0</v>
      </c>
      <c r="H17" s="186">
        <f>calculations!G24</f>
        <v>0</v>
      </c>
      <c r="I17" s="186">
        <f>calculations!H24</f>
        <v>0</v>
      </c>
      <c r="J17" s="186">
        <f>calculations!I24</f>
        <v>0</v>
      </c>
      <c r="K17" s="186">
        <f>calculations!J24</f>
        <v>0</v>
      </c>
      <c r="L17" s="187">
        <f>calculations!K24</f>
        <v>0</v>
      </c>
      <c r="M17" s="73"/>
      <c r="N17" s="17"/>
      <c r="O17" s="4"/>
    </row>
    <row r="18" spans="2:15" ht="25" customHeight="1" x14ac:dyDescent="0.2">
      <c r="B18" s="73"/>
      <c r="C18" s="123"/>
      <c r="D18" s="188" t="s">
        <v>114</v>
      </c>
      <c r="E18" s="189">
        <f>calculations!D25</f>
        <v>0.23958333333333318</v>
      </c>
      <c r="F18" s="189">
        <f>calculations!E25</f>
        <v>5.290277777777777</v>
      </c>
      <c r="G18" s="189">
        <f>calculations!F25</f>
        <v>0</v>
      </c>
      <c r="H18" s="189">
        <f>calculations!G25</f>
        <v>0</v>
      </c>
      <c r="I18" s="189">
        <f>calculations!H25</f>
        <v>0</v>
      </c>
      <c r="J18" s="189">
        <f>calculations!I25</f>
        <v>0</v>
      </c>
      <c r="K18" s="189">
        <f>calculations!J25</f>
        <v>0</v>
      </c>
      <c r="L18" s="190">
        <f>calculations!K25</f>
        <v>0</v>
      </c>
      <c r="M18" s="73"/>
      <c r="N18" s="18"/>
      <c r="O18" s="4"/>
    </row>
    <row r="19" spans="2:15" ht="25" customHeight="1" thickBot="1" x14ac:dyDescent="0.25">
      <c r="B19" s="73"/>
      <c r="C19" s="124"/>
      <c r="D19" s="191" t="s">
        <v>29</v>
      </c>
      <c r="E19" s="192">
        <f>calculations!D26</f>
        <v>0.69696969696969668</v>
      </c>
      <c r="F19" s="192">
        <f>calculations!E26</f>
        <v>0.99425737405377179</v>
      </c>
      <c r="G19" s="192" t="str">
        <f>calculations!F26</f>
        <v/>
      </c>
      <c r="H19" s="192" t="str">
        <f>calculations!G26</f>
        <v/>
      </c>
      <c r="I19" s="192" t="str">
        <f>calculations!H26</f>
        <v/>
      </c>
      <c r="J19" s="192" t="str">
        <f>calculations!I26</f>
        <v/>
      </c>
      <c r="K19" s="192" t="str">
        <f>calculations!J26</f>
        <v/>
      </c>
      <c r="L19" s="193" t="str">
        <f>calculations!K26</f>
        <v/>
      </c>
      <c r="M19" s="73"/>
      <c r="N19" s="18"/>
      <c r="O19" s="4"/>
    </row>
    <row r="20" spans="2:15" ht="25" customHeight="1" thickTop="1" x14ac:dyDescent="0.2">
      <c r="B20" s="73"/>
      <c r="C20" s="73"/>
      <c r="D20" s="73"/>
      <c r="E20" s="73"/>
      <c r="F20" s="73"/>
      <c r="G20" s="73"/>
      <c r="H20" s="73"/>
      <c r="I20" s="73"/>
      <c r="J20" s="73"/>
      <c r="K20" s="73"/>
      <c r="L20" s="73"/>
      <c r="M20" s="73"/>
    </row>
    <row r="21" spans="2:15" ht="25" customHeight="1" thickBot="1" x14ac:dyDescent="0.25">
      <c r="B21" s="73"/>
      <c r="C21" s="73"/>
      <c r="D21" s="73"/>
      <c r="E21" s="73"/>
      <c r="F21" s="75"/>
      <c r="G21" s="75"/>
      <c r="H21" s="75"/>
      <c r="I21" s="75"/>
      <c r="J21" s="75"/>
      <c r="K21" s="75"/>
      <c r="L21" s="75"/>
      <c r="M21" s="73"/>
    </row>
    <row r="22" spans="2:15" ht="40" customHeight="1" thickTop="1" thickBot="1" x14ac:dyDescent="0.25">
      <c r="B22" s="80"/>
      <c r="C22" s="220" t="s">
        <v>149</v>
      </c>
      <c r="D22" s="221"/>
      <c r="E22" s="221"/>
      <c r="F22" s="74"/>
      <c r="G22" s="216"/>
      <c r="H22" s="216"/>
      <c r="I22" s="216"/>
      <c r="J22" s="216"/>
      <c r="K22" s="216"/>
      <c r="L22" s="216"/>
      <c r="M22" s="74"/>
    </row>
    <row r="23" spans="2:15" ht="25" customHeight="1" thickTop="1" x14ac:dyDescent="0.2">
      <c r="B23" s="73"/>
      <c r="C23" s="171"/>
      <c r="D23" s="172" t="s">
        <v>164</v>
      </c>
      <c r="E23" s="173" t="str">
        <f>calculations!D30</f>
        <v/>
      </c>
      <c r="F23" s="75"/>
      <c r="G23" s="216"/>
      <c r="H23" s="216"/>
      <c r="I23" s="216"/>
      <c r="J23" s="216"/>
      <c r="K23" s="216"/>
      <c r="L23" s="216"/>
      <c r="M23" s="73"/>
    </row>
    <row r="24" spans="2:15" ht="25" customHeight="1" x14ac:dyDescent="0.2">
      <c r="B24" s="73"/>
      <c r="C24" s="90"/>
      <c r="D24" s="174" t="s">
        <v>165</v>
      </c>
      <c r="E24" s="175" t="str">
        <f>calculations!D31</f>
        <v/>
      </c>
      <c r="F24" s="75"/>
      <c r="G24" s="216"/>
      <c r="H24" s="216"/>
      <c r="I24" s="216"/>
      <c r="J24" s="216"/>
      <c r="K24" s="216"/>
      <c r="L24" s="216"/>
      <c r="M24" s="73"/>
    </row>
    <row r="25" spans="2:15" ht="25" customHeight="1" x14ac:dyDescent="0.2">
      <c r="B25" s="80"/>
      <c r="C25" s="89"/>
      <c r="D25" s="176" t="s">
        <v>166</v>
      </c>
      <c r="E25" s="177" t="str">
        <f>calculations!D32</f>
        <v/>
      </c>
      <c r="F25" s="75"/>
      <c r="G25" s="216"/>
      <c r="H25" s="216"/>
      <c r="I25" s="216"/>
      <c r="J25" s="216"/>
      <c r="K25" s="216"/>
      <c r="L25" s="216"/>
      <c r="M25" s="73"/>
    </row>
    <row r="26" spans="2:15" ht="25" customHeight="1" x14ac:dyDescent="0.2">
      <c r="B26" s="73"/>
      <c r="C26" s="91"/>
      <c r="D26" s="178" t="s">
        <v>167</v>
      </c>
      <c r="E26" s="175" t="str">
        <f>calculations!D33</f>
        <v/>
      </c>
      <c r="F26" s="75"/>
      <c r="G26" s="216"/>
      <c r="H26" s="216"/>
      <c r="I26" s="216"/>
      <c r="J26" s="216"/>
      <c r="K26" s="216"/>
      <c r="L26" s="216"/>
      <c r="M26" s="73"/>
    </row>
    <row r="27" spans="2:15" ht="25" customHeight="1" x14ac:dyDescent="0.2">
      <c r="B27" s="80"/>
      <c r="C27" s="92"/>
      <c r="D27" s="179" t="s">
        <v>168</v>
      </c>
      <c r="E27" s="177" t="str">
        <f>calculations!D34</f>
        <v/>
      </c>
      <c r="F27" s="75"/>
      <c r="G27" s="216"/>
      <c r="H27" s="216"/>
      <c r="I27" s="216"/>
      <c r="J27" s="216"/>
      <c r="K27" s="216"/>
      <c r="L27" s="216"/>
      <c r="M27" s="73"/>
    </row>
    <row r="28" spans="2:15" ht="25" customHeight="1" x14ac:dyDescent="0.2">
      <c r="B28" s="73"/>
      <c r="C28" s="180"/>
      <c r="D28" s="174" t="s">
        <v>169</v>
      </c>
      <c r="E28" s="175" t="str">
        <f>calculations!D35</f>
        <v/>
      </c>
      <c r="F28" s="75"/>
      <c r="G28" s="216"/>
      <c r="H28" s="216"/>
      <c r="I28" s="216"/>
      <c r="J28" s="216"/>
      <c r="K28" s="216"/>
      <c r="L28" s="216"/>
      <c r="M28" s="73"/>
    </row>
    <row r="29" spans="2:15" ht="25" customHeight="1" x14ac:dyDescent="0.2">
      <c r="B29" s="73"/>
      <c r="C29" s="92"/>
      <c r="D29" s="179" t="s">
        <v>72</v>
      </c>
      <c r="E29" s="181" t="str">
        <f>calculations!D36</f>
        <v/>
      </c>
      <c r="F29" s="75"/>
      <c r="G29" s="216"/>
      <c r="H29" s="216"/>
      <c r="I29" s="216"/>
      <c r="J29" s="216"/>
      <c r="K29" s="216"/>
      <c r="L29" s="216"/>
      <c r="M29" s="73"/>
    </row>
    <row r="30" spans="2:15" ht="25" customHeight="1" thickBot="1" x14ac:dyDescent="0.25">
      <c r="B30" s="80"/>
      <c r="C30" s="182"/>
      <c r="D30" s="183" t="s">
        <v>73</v>
      </c>
      <c r="E30" s="184" t="str">
        <f>calculations!D37</f>
        <v/>
      </c>
      <c r="F30" s="75"/>
      <c r="G30" s="216"/>
      <c r="H30" s="216"/>
      <c r="I30" s="216"/>
      <c r="J30" s="216"/>
      <c r="K30" s="216"/>
      <c r="L30" s="216"/>
      <c r="M30" s="73"/>
    </row>
    <row r="31" spans="2:15" ht="25" customHeight="1" thickTop="1" x14ac:dyDescent="0.2">
      <c r="B31" s="73"/>
      <c r="C31" s="73"/>
      <c r="D31" s="73"/>
      <c r="E31" s="73"/>
      <c r="F31" s="75"/>
      <c r="G31" s="75"/>
      <c r="H31" s="75"/>
      <c r="I31" s="75"/>
      <c r="J31" s="75"/>
      <c r="K31" s="75"/>
      <c r="L31" s="75"/>
      <c r="M31" s="73"/>
    </row>
    <row r="32" spans="2:15" ht="25" customHeight="1" x14ac:dyDescent="0.2">
      <c r="B32" s="73"/>
      <c r="C32" s="73"/>
      <c r="D32" s="73"/>
      <c r="E32" s="73"/>
      <c r="F32" s="75"/>
      <c r="G32" s="75"/>
      <c r="H32" s="75"/>
      <c r="I32" s="75"/>
      <c r="J32" s="75"/>
      <c r="K32" s="75"/>
      <c r="L32" s="75"/>
      <c r="M32" s="73"/>
    </row>
    <row r="33" spans="2:13" ht="25" customHeight="1" x14ac:dyDescent="0.2">
      <c r="B33" s="73"/>
      <c r="C33" s="73"/>
      <c r="D33" s="73"/>
      <c r="E33" s="73"/>
      <c r="F33" s="75"/>
      <c r="G33" s="75"/>
      <c r="H33" s="75"/>
      <c r="I33" s="75"/>
      <c r="J33" s="75"/>
      <c r="K33" s="75"/>
      <c r="L33" s="75"/>
      <c r="M33" s="73"/>
    </row>
    <row r="34" spans="2:13" ht="25" customHeight="1" x14ac:dyDescent="0.2">
      <c r="B34" s="73"/>
      <c r="C34" s="73"/>
      <c r="D34" s="73"/>
      <c r="E34" s="73"/>
      <c r="F34" s="73"/>
      <c r="G34" s="73"/>
      <c r="H34" s="73"/>
      <c r="I34" s="73"/>
      <c r="J34" s="73"/>
      <c r="K34" s="73"/>
      <c r="L34" s="73"/>
      <c r="M34" s="73"/>
    </row>
    <row r="35" spans="2:13" ht="25" customHeight="1" x14ac:dyDescent="0.2">
      <c r="B35" s="73"/>
      <c r="C35" s="73"/>
      <c r="D35" s="73"/>
      <c r="E35" s="73"/>
      <c r="F35" s="73"/>
      <c r="G35" s="73"/>
      <c r="H35" s="73"/>
      <c r="I35" s="73"/>
      <c r="J35" s="73"/>
      <c r="K35" s="73"/>
      <c r="L35" s="73"/>
      <c r="M35" s="73"/>
    </row>
    <row r="36" spans="2:13" ht="25" customHeight="1" x14ac:dyDescent="0.2">
      <c r="B36" s="73"/>
      <c r="C36" s="73"/>
      <c r="D36" s="73"/>
      <c r="E36" s="73"/>
      <c r="F36" s="73"/>
      <c r="G36" s="73"/>
      <c r="H36" s="73"/>
      <c r="I36" s="73"/>
      <c r="J36" s="73"/>
      <c r="K36" s="73"/>
      <c r="L36" s="73"/>
      <c r="M36" s="73"/>
    </row>
    <row r="37" spans="2:13" ht="25" customHeight="1" x14ac:dyDescent="0.2">
      <c r="B37" s="73"/>
      <c r="C37" s="73"/>
      <c r="D37" s="73"/>
      <c r="E37" s="73"/>
      <c r="F37" s="73"/>
      <c r="G37" s="73"/>
      <c r="H37" s="73"/>
      <c r="I37" s="73"/>
      <c r="J37" s="73"/>
      <c r="K37" s="73"/>
      <c r="L37" s="73"/>
      <c r="M37" s="73"/>
    </row>
    <row r="38" spans="2:13" ht="25" customHeight="1" x14ac:dyDescent="0.2">
      <c r="B38" s="73"/>
      <c r="C38" s="73"/>
      <c r="D38" s="73"/>
      <c r="E38" s="73"/>
      <c r="F38" s="73"/>
      <c r="G38" s="73"/>
      <c r="H38" s="73"/>
      <c r="I38" s="73"/>
      <c r="J38" s="73"/>
      <c r="K38" s="73"/>
      <c r="L38" s="73"/>
      <c r="M38" s="73"/>
    </row>
    <row r="39" spans="2:13" ht="25" customHeight="1" x14ac:dyDescent="0.2">
      <c r="B39" s="73"/>
      <c r="C39" s="73"/>
      <c r="D39" s="73"/>
      <c r="E39" s="73"/>
      <c r="F39" s="73"/>
      <c r="G39" s="73"/>
      <c r="H39" s="73"/>
      <c r="I39" s="73"/>
      <c r="J39" s="73"/>
      <c r="K39" s="73"/>
      <c r="L39" s="73"/>
      <c r="M39" s="73"/>
    </row>
    <row r="40" spans="2:13" ht="25" customHeight="1" x14ac:dyDescent="0.2">
      <c r="B40" s="73"/>
      <c r="C40" s="73"/>
      <c r="D40" s="73"/>
      <c r="E40" s="73"/>
      <c r="F40" s="73"/>
      <c r="G40" s="73"/>
      <c r="H40" s="73"/>
      <c r="I40" s="73"/>
      <c r="J40" s="73"/>
      <c r="K40" s="73"/>
      <c r="L40" s="73"/>
      <c r="M40" s="73"/>
    </row>
    <row r="41" spans="2:13" ht="25" customHeight="1" x14ac:dyDescent="0.2">
      <c r="B41" s="73"/>
      <c r="C41" s="73"/>
      <c r="D41" s="73"/>
      <c r="E41" s="73"/>
      <c r="F41" s="73"/>
      <c r="G41" s="73"/>
      <c r="H41" s="73"/>
      <c r="I41" s="73"/>
      <c r="J41" s="73"/>
      <c r="K41" s="73"/>
      <c r="L41" s="73"/>
      <c r="M41" s="73"/>
    </row>
    <row r="42" spans="2:13" ht="25" customHeight="1" x14ac:dyDescent="0.2">
      <c r="B42" s="73"/>
      <c r="C42" s="73"/>
      <c r="D42" s="73"/>
      <c r="E42" s="73"/>
      <c r="F42" s="73"/>
      <c r="G42" s="73"/>
      <c r="H42" s="73"/>
      <c r="I42" s="73"/>
      <c r="J42" s="73"/>
      <c r="K42" s="73"/>
      <c r="L42" s="73"/>
      <c r="M42" s="73"/>
    </row>
  </sheetData>
  <mergeCells count="5">
    <mergeCell ref="B1:M1"/>
    <mergeCell ref="C3:D3"/>
    <mergeCell ref="G22:L30"/>
    <mergeCell ref="C16:L16"/>
    <mergeCell ref="C22:E22"/>
  </mergeCells>
  <pageMargins left="0.25" right="0.25" top="0.75" bottom="0.75" header="0.3" footer="0.3"/>
  <pageSetup scale="38" orientation="portrait" cellComments="atEnd" r:id="rId1"/>
  <ignoredErrors>
    <ignoredError sqref="C4:C12 C13:C14" numberStoredAsText="1"/>
    <ignoredError sqref="E17:L19 E23:E28 E29:E30"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calculations!$U$5:$U$9</xm:f>
          </x14:formula1>
          <xm:sqref>E14:M14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N44"/>
  <sheetViews>
    <sheetView topLeftCell="A22" zoomScaleNormal="100" workbookViewId="0">
      <selection activeCell="D40" sqref="D40"/>
    </sheetView>
  </sheetViews>
  <sheetFormatPr baseColWidth="10" defaultColWidth="10.83203125" defaultRowHeight="25" customHeight="1" x14ac:dyDescent="0.2"/>
  <cols>
    <col min="1" max="1" width="10.83203125" style="3"/>
    <col min="2" max="2" width="10.1640625" style="3" customWidth="1"/>
    <col min="3" max="3" width="4.6640625" style="3" customWidth="1"/>
    <col min="4" max="4" width="85.6640625" style="3" customWidth="1"/>
    <col min="5" max="12" width="12.6640625" style="3" customWidth="1"/>
    <col min="13" max="13" width="10.1640625" style="3" customWidth="1"/>
    <col min="14" max="16384" width="10.83203125" style="3"/>
  </cols>
  <sheetData>
    <row r="1" spans="2:14" ht="115" customHeight="1" thickBot="1" x14ac:dyDescent="0.25">
      <c r="B1" s="209" t="s">
        <v>71</v>
      </c>
      <c r="C1" s="209"/>
      <c r="D1" s="209"/>
      <c r="E1" s="209"/>
      <c r="F1" s="209"/>
      <c r="G1" s="209"/>
      <c r="H1" s="209"/>
      <c r="I1" s="209"/>
      <c r="J1" s="209"/>
      <c r="K1" s="209"/>
      <c r="L1" s="209"/>
      <c r="M1" s="209"/>
    </row>
    <row r="2" spans="2:14" ht="20" customHeight="1" thickTop="1" thickBot="1" x14ac:dyDescent="0.25">
      <c r="B2" s="73"/>
      <c r="C2" s="73"/>
      <c r="D2" s="73"/>
      <c r="E2" s="73"/>
      <c r="F2" s="73"/>
      <c r="G2" s="73"/>
      <c r="H2" s="73"/>
      <c r="I2" s="73"/>
      <c r="J2" s="73"/>
      <c r="K2" s="73"/>
      <c r="L2" s="73"/>
      <c r="M2" s="73"/>
    </row>
    <row r="3" spans="2:14" ht="40" customHeight="1" thickTop="1" thickBot="1" x14ac:dyDescent="0.25">
      <c r="B3" s="73"/>
      <c r="C3" s="222" t="s">
        <v>86</v>
      </c>
      <c r="D3" s="223"/>
      <c r="E3" s="224"/>
      <c r="F3" s="73"/>
      <c r="G3" s="73"/>
      <c r="H3" s="73"/>
      <c r="I3" s="73"/>
      <c r="J3" s="73"/>
      <c r="K3" s="73"/>
      <c r="L3" s="73"/>
      <c r="M3" s="73"/>
    </row>
    <row r="4" spans="2:14" ht="25" customHeight="1" thickTop="1" x14ac:dyDescent="0.2">
      <c r="B4" s="73"/>
      <c r="C4" s="230" t="s">
        <v>154</v>
      </c>
      <c r="D4" s="231"/>
      <c r="E4" s="130">
        <v>0.16666666666666666</v>
      </c>
      <c r="F4" s="73"/>
      <c r="G4" s="73"/>
      <c r="H4" s="73"/>
      <c r="I4" s="73"/>
      <c r="J4" s="73"/>
      <c r="K4" s="73"/>
      <c r="L4" s="73"/>
      <c r="M4" s="73"/>
    </row>
    <row r="5" spans="2:14" ht="25" customHeight="1" x14ac:dyDescent="0.2">
      <c r="B5" s="73"/>
      <c r="C5" s="228" t="s">
        <v>155</v>
      </c>
      <c r="D5" s="229"/>
      <c r="E5" s="127"/>
      <c r="F5" s="73"/>
      <c r="G5" s="73"/>
      <c r="H5" s="73"/>
      <c r="I5" s="73"/>
      <c r="J5" s="73"/>
      <c r="K5" s="73"/>
      <c r="L5" s="73"/>
      <c r="M5" s="73"/>
    </row>
    <row r="6" spans="2:14" ht="35" customHeight="1" x14ac:dyDescent="0.25">
      <c r="B6" s="73"/>
      <c r="C6" s="128"/>
      <c r="D6" s="129" t="s">
        <v>88</v>
      </c>
      <c r="E6" s="160" t="str">
        <f>IFERROR(calculations!T43, "*Error in calculation")</f>
        <v>*Error in calculation</v>
      </c>
      <c r="F6" s="169" t="str">
        <f>IF(E6&lt;=0.229166666666667,"&lt;&lt; Do not decrease your time in bed to under 5 ½ hours (330 Minutes). ","")</f>
        <v/>
      </c>
      <c r="G6" s="73"/>
      <c r="H6" s="73"/>
      <c r="I6" s="73"/>
      <c r="J6" s="73"/>
      <c r="K6" s="73"/>
      <c r="L6" s="73"/>
      <c r="M6" s="73"/>
    </row>
    <row r="7" spans="2:14" ht="35" customHeight="1" x14ac:dyDescent="0.2">
      <c r="B7" s="73"/>
      <c r="C7" s="198"/>
      <c r="D7" s="197" t="s">
        <v>87</v>
      </c>
      <c r="E7" s="199" t="str">
        <f>IFERROR(calculations!S46, "*Error in calculation")</f>
        <v>*Error in calculation</v>
      </c>
      <c r="F7" s="73"/>
      <c r="G7" s="73"/>
      <c r="H7" s="73"/>
      <c r="I7" s="73"/>
      <c r="J7" s="73"/>
      <c r="K7" s="73"/>
      <c r="L7" s="73"/>
      <c r="M7" s="73"/>
    </row>
    <row r="8" spans="2:14" ht="35" customHeight="1" x14ac:dyDescent="0.2">
      <c r="B8" s="73"/>
      <c r="C8" s="128"/>
      <c r="D8" s="129" t="s">
        <v>161</v>
      </c>
      <c r="E8" s="200" t="str">
        <f>'Week 1'!E30</f>
        <v/>
      </c>
      <c r="F8" s="73"/>
      <c r="G8" s="73"/>
      <c r="H8" s="73"/>
      <c r="I8" s="73"/>
      <c r="J8" s="73"/>
      <c r="K8" s="73"/>
      <c r="L8" s="73"/>
      <c r="M8" s="73"/>
    </row>
    <row r="9" spans="2:14" ht="25" customHeight="1" thickBot="1" x14ac:dyDescent="0.25">
      <c r="B9" s="73"/>
      <c r="C9" s="225" t="s">
        <v>143</v>
      </c>
      <c r="D9" s="226"/>
      <c r="E9" s="227"/>
      <c r="F9" s="73"/>
      <c r="G9" s="73"/>
      <c r="H9" s="73"/>
      <c r="I9" s="73"/>
      <c r="J9" s="73"/>
      <c r="K9" s="73"/>
      <c r="L9" s="73"/>
      <c r="M9" s="73"/>
    </row>
    <row r="10" spans="2:14" ht="25" customHeight="1" thickTop="1" x14ac:dyDescent="0.2">
      <c r="B10" s="73"/>
      <c r="C10" s="73"/>
      <c r="D10" s="73"/>
      <c r="E10" s="73"/>
      <c r="F10" s="73"/>
      <c r="G10" s="73"/>
      <c r="H10" s="73"/>
      <c r="I10" s="73"/>
      <c r="J10" s="73"/>
      <c r="K10" s="73"/>
      <c r="L10" s="73"/>
      <c r="M10" s="73"/>
    </row>
    <row r="11" spans="2:14" ht="24.75" customHeight="1" thickBot="1" x14ac:dyDescent="0.25">
      <c r="B11" s="73"/>
      <c r="C11" s="73"/>
      <c r="D11" s="73"/>
      <c r="E11" s="73"/>
      <c r="F11" s="73"/>
      <c r="G11" s="73"/>
      <c r="H11" s="73"/>
      <c r="I11" s="73"/>
      <c r="J11" s="73"/>
      <c r="K11" s="73"/>
      <c r="L11" s="73"/>
      <c r="M11" s="73"/>
    </row>
    <row r="12" spans="2:14" ht="40" customHeight="1" thickTop="1" thickBot="1" x14ac:dyDescent="0.25">
      <c r="B12" s="73"/>
      <c r="C12" s="214" t="s">
        <v>74</v>
      </c>
      <c r="D12" s="215" t="s">
        <v>74</v>
      </c>
      <c r="E12" s="77" t="s">
        <v>58</v>
      </c>
      <c r="F12" s="78" t="s">
        <v>17</v>
      </c>
      <c r="G12" s="78" t="s">
        <v>18</v>
      </c>
      <c r="H12" s="78" t="s">
        <v>19</v>
      </c>
      <c r="I12" s="78" t="s">
        <v>20</v>
      </c>
      <c r="J12" s="78" t="s">
        <v>21</v>
      </c>
      <c r="K12" s="76" t="s">
        <v>22</v>
      </c>
      <c r="L12" s="79" t="s">
        <v>23</v>
      </c>
      <c r="M12" s="73"/>
      <c r="N12" s="46"/>
    </row>
    <row r="13" spans="2:14" ht="25" customHeight="1" thickTop="1" x14ac:dyDescent="0.2">
      <c r="B13" s="73"/>
      <c r="C13" s="88" t="s">
        <v>7</v>
      </c>
      <c r="D13" s="116" t="s">
        <v>0</v>
      </c>
      <c r="E13" s="110">
        <v>41647</v>
      </c>
      <c r="F13" s="96"/>
      <c r="G13" s="96"/>
      <c r="H13" s="96"/>
      <c r="I13" s="96"/>
      <c r="J13" s="96"/>
      <c r="K13" s="96"/>
      <c r="L13" s="97"/>
      <c r="M13" s="73"/>
      <c r="N13" s="6"/>
    </row>
    <row r="14" spans="2:14" ht="25" customHeight="1" x14ac:dyDescent="0.2">
      <c r="B14" s="73"/>
      <c r="C14" s="89" t="s">
        <v>8</v>
      </c>
      <c r="D14" s="117" t="s">
        <v>25</v>
      </c>
      <c r="E14" s="111">
        <v>30</v>
      </c>
      <c r="F14" s="98"/>
      <c r="G14" s="98"/>
      <c r="H14" s="98"/>
      <c r="I14" s="98"/>
      <c r="J14" s="98"/>
      <c r="K14" s="98"/>
      <c r="L14" s="99"/>
      <c r="M14" s="73"/>
      <c r="N14" s="7"/>
    </row>
    <row r="15" spans="2:14" ht="25" customHeight="1" x14ac:dyDescent="0.2">
      <c r="B15" s="73"/>
      <c r="C15" s="90" t="s">
        <v>9</v>
      </c>
      <c r="D15" s="118" t="s">
        <v>1</v>
      </c>
      <c r="E15" s="112">
        <v>0.97916666666666663</v>
      </c>
      <c r="F15" s="100"/>
      <c r="G15" s="100"/>
      <c r="H15" s="100"/>
      <c r="I15" s="100"/>
      <c r="J15" s="100"/>
      <c r="K15" s="100"/>
      <c r="L15" s="101"/>
      <c r="M15" s="73"/>
      <c r="N15" s="7"/>
    </row>
    <row r="16" spans="2:14" ht="25" customHeight="1" x14ac:dyDescent="0.2">
      <c r="B16" s="73"/>
      <c r="C16" s="89" t="s">
        <v>10</v>
      </c>
      <c r="D16" s="117" t="s">
        <v>2</v>
      </c>
      <c r="E16" s="113">
        <v>0.98958333333333337</v>
      </c>
      <c r="F16" s="102"/>
      <c r="G16" s="102"/>
      <c r="H16" s="102"/>
      <c r="I16" s="102"/>
      <c r="J16" s="102"/>
      <c r="K16" s="102"/>
      <c r="L16" s="103"/>
      <c r="M16" s="73"/>
      <c r="N16" s="7"/>
    </row>
    <row r="17" spans="2:14" ht="25" customHeight="1" x14ac:dyDescent="0.2">
      <c r="B17" s="73"/>
      <c r="C17" s="91" t="s">
        <v>11</v>
      </c>
      <c r="D17" s="119" t="s">
        <v>16</v>
      </c>
      <c r="E17" s="114">
        <v>30</v>
      </c>
      <c r="F17" s="104"/>
      <c r="G17" s="104"/>
      <c r="H17" s="104"/>
      <c r="I17" s="104"/>
      <c r="J17" s="104"/>
      <c r="K17" s="104"/>
      <c r="L17" s="105"/>
      <c r="M17" s="73"/>
      <c r="N17" s="8"/>
    </row>
    <row r="18" spans="2:14" ht="25" customHeight="1" x14ac:dyDescent="0.2">
      <c r="B18" s="73"/>
      <c r="C18" s="92" t="s">
        <v>12</v>
      </c>
      <c r="D18" s="120" t="s">
        <v>3</v>
      </c>
      <c r="E18" s="111">
        <v>2</v>
      </c>
      <c r="F18" s="98"/>
      <c r="G18" s="98"/>
      <c r="H18" s="98"/>
      <c r="I18" s="98"/>
      <c r="J18" s="98"/>
      <c r="K18" s="98"/>
      <c r="L18" s="99"/>
      <c r="M18" s="73"/>
      <c r="N18" s="8"/>
    </row>
    <row r="19" spans="2:14" ht="25" customHeight="1" x14ac:dyDescent="0.2">
      <c r="B19" s="73"/>
      <c r="C19" s="90" t="s">
        <v>13</v>
      </c>
      <c r="D19" s="118" t="s">
        <v>4</v>
      </c>
      <c r="E19" s="114">
        <v>60</v>
      </c>
      <c r="F19" s="104"/>
      <c r="G19" s="106"/>
      <c r="H19" s="106"/>
      <c r="I19" s="106"/>
      <c r="J19" s="106"/>
      <c r="K19" s="106"/>
      <c r="L19" s="107"/>
      <c r="M19" s="73"/>
      <c r="N19" s="7"/>
    </row>
    <row r="20" spans="2:14" ht="25" customHeight="1" x14ac:dyDescent="0.2">
      <c r="B20" s="73"/>
      <c r="C20" s="92" t="s">
        <v>14</v>
      </c>
      <c r="D20" s="120" t="s">
        <v>5</v>
      </c>
      <c r="E20" s="113">
        <v>0.29166666666666669</v>
      </c>
      <c r="F20" s="102"/>
      <c r="G20" s="102"/>
      <c r="H20" s="102"/>
      <c r="I20" s="102"/>
      <c r="J20" s="102"/>
      <c r="K20" s="102"/>
      <c r="L20" s="103"/>
      <c r="M20" s="73"/>
      <c r="N20" s="8"/>
    </row>
    <row r="21" spans="2:14" ht="25" customHeight="1" x14ac:dyDescent="0.2">
      <c r="B21" s="73"/>
      <c r="C21" s="90" t="s">
        <v>15</v>
      </c>
      <c r="D21" s="118" t="s">
        <v>6</v>
      </c>
      <c r="E21" s="112">
        <v>0.33333333333333331</v>
      </c>
      <c r="F21" s="100"/>
      <c r="G21" s="100"/>
      <c r="H21" s="100"/>
      <c r="I21" s="100"/>
      <c r="J21" s="100"/>
      <c r="K21" s="100"/>
      <c r="L21" s="101"/>
      <c r="M21" s="73"/>
      <c r="N21" s="7"/>
    </row>
    <row r="22" spans="2:14" ht="25" customHeight="1" x14ac:dyDescent="0.2">
      <c r="B22" s="73"/>
      <c r="C22" s="93" t="s">
        <v>26</v>
      </c>
      <c r="D22" s="117" t="s">
        <v>137</v>
      </c>
      <c r="E22" s="111">
        <v>30</v>
      </c>
      <c r="F22" s="98"/>
      <c r="G22" s="98"/>
      <c r="H22" s="98"/>
      <c r="I22" s="98"/>
      <c r="J22" s="98"/>
      <c r="K22" s="98"/>
      <c r="L22" s="99"/>
      <c r="M22" s="73"/>
      <c r="N22" s="7"/>
    </row>
    <row r="23" spans="2:14" ht="25" customHeight="1" thickBot="1" x14ac:dyDescent="0.25">
      <c r="B23" s="73"/>
      <c r="C23" s="94" t="s">
        <v>104</v>
      </c>
      <c r="D23" s="121" t="s">
        <v>105</v>
      </c>
      <c r="E23" s="115" t="s">
        <v>109</v>
      </c>
      <c r="F23" s="108"/>
      <c r="G23" s="108"/>
      <c r="H23" s="108"/>
      <c r="I23" s="108"/>
      <c r="J23" s="108"/>
      <c r="K23" s="108"/>
      <c r="L23" s="109"/>
      <c r="M23" s="73"/>
      <c r="N23" s="7"/>
    </row>
    <row r="24" spans="2:14" ht="25" hidden="1" customHeight="1" x14ac:dyDescent="0.2">
      <c r="B24" s="73"/>
      <c r="C24" s="86"/>
      <c r="D24" s="30" t="s">
        <v>70</v>
      </c>
      <c r="E24" s="37">
        <v>0.85</v>
      </c>
      <c r="F24" s="37">
        <v>0.85</v>
      </c>
      <c r="G24" s="37">
        <v>0.85</v>
      </c>
      <c r="H24" s="37">
        <v>0.85</v>
      </c>
      <c r="I24" s="37">
        <v>0.85</v>
      </c>
      <c r="J24" s="37">
        <v>0.85</v>
      </c>
      <c r="K24" s="37">
        <v>0.85</v>
      </c>
      <c r="L24" s="95">
        <v>0.85</v>
      </c>
      <c r="M24" s="73"/>
      <c r="N24" s="7"/>
    </row>
    <row r="25" spans="2:14" ht="40" customHeight="1" thickTop="1" thickBot="1" x14ac:dyDescent="0.25">
      <c r="B25" s="73"/>
      <c r="C25" s="217" t="s">
        <v>139</v>
      </c>
      <c r="D25" s="218"/>
      <c r="E25" s="218"/>
      <c r="F25" s="218"/>
      <c r="G25" s="218"/>
      <c r="H25" s="218"/>
      <c r="I25" s="218"/>
      <c r="J25" s="218"/>
      <c r="K25" s="218"/>
      <c r="L25" s="219"/>
      <c r="M25" s="73"/>
      <c r="N25" s="5"/>
    </row>
    <row r="26" spans="2:14" ht="25" customHeight="1" thickTop="1" x14ac:dyDescent="0.2">
      <c r="B26" s="73"/>
      <c r="C26" s="122"/>
      <c r="D26" s="185" t="s">
        <v>27</v>
      </c>
      <c r="E26" s="186">
        <f>calculations!D59</f>
        <v>0.34374999999999989</v>
      </c>
      <c r="F26" s="186">
        <f>calculations!E59</f>
        <v>0</v>
      </c>
      <c r="G26" s="186">
        <f>calculations!F59</f>
        <v>0</v>
      </c>
      <c r="H26" s="186">
        <f>calculations!G59</f>
        <v>0</v>
      </c>
      <c r="I26" s="186">
        <f>calculations!H59</f>
        <v>0</v>
      </c>
      <c r="J26" s="186">
        <f>calculations!I59</f>
        <v>0</v>
      </c>
      <c r="K26" s="186">
        <f>calculations!J59</f>
        <v>0</v>
      </c>
      <c r="L26" s="187">
        <f>calculations!K59</f>
        <v>0</v>
      </c>
      <c r="M26" s="73"/>
      <c r="N26" s="4"/>
    </row>
    <row r="27" spans="2:14" ht="25" customHeight="1" x14ac:dyDescent="0.2">
      <c r="B27" s="73"/>
      <c r="C27" s="123"/>
      <c r="D27" s="188" t="s">
        <v>28</v>
      </c>
      <c r="E27" s="189">
        <f>calculations!D60</f>
        <v>0.23958333333333318</v>
      </c>
      <c r="F27" s="189">
        <f>calculations!E60</f>
        <v>0</v>
      </c>
      <c r="G27" s="189">
        <f>calculations!F60</f>
        <v>0</v>
      </c>
      <c r="H27" s="189">
        <f>calculations!G60</f>
        <v>0</v>
      </c>
      <c r="I27" s="189">
        <f>calculations!H60</f>
        <v>0</v>
      </c>
      <c r="J27" s="189">
        <f>calculations!I60</f>
        <v>0</v>
      </c>
      <c r="K27" s="189">
        <f>calculations!J60</f>
        <v>0</v>
      </c>
      <c r="L27" s="190">
        <f>calculations!K60</f>
        <v>0</v>
      </c>
      <c r="M27" s="73"/>
      <c r="N27" s="4"/>
    </row>
    <row r="28" spans="2:14" ht="25" customHeight="1" thickBot="1" x14ac:dyDescent="0.25">
      <c r="B28" s="73"/>
      <c r="C28" s="124"/>
      <c r="D28" s="191" t="s">
        <v>29</v>
      </c>
      <c r="E28" s="192">
        <f>calculations!D61</f>
        <v>0.69696969696969668</v>
      </c>
      <c r="F28" s="192" t="str">
        <f>calculations!E61</f>
        <v/>
      </c>
      <c r="G28" s="192" t="str">
        <f>calculations!F61</f>
        <v/>
      </c>
      <c r="H28" s="192" t="str">
        <f>calculations!G61</f>
        <v/>
      </c>
      <c r="I28" s="192" t="str">
        <f>calculations!H61</f>
        <v/>
      </c>
      <c r="J28" s="192" t="str">
        <f>calculations!I61</f>
        <v/>
      </c>
      <c r="K28" s="192" t="str">
        <f>calculations!J61</f>
        <v/>
      </c>
      <c r="L28" s="193" t="str">
        <f>calculations!K61</f>
        <v/>
      </c>
      <c r="M28" s="73"/>
      <c r="N28" s="4"/>
    </row>
    <row r="29" spans="2:14" ht="25" customHeight="1" thickTop="1" x14ac:dyDescent="0.2">
      <c r="B29" s="73"/>
      <c r="C29" s="73"/>
      <c r="D29" s="73"/>
      <c r="E29" s="73"/>
      <c r="F29" s="73"/>
      <c r="G29" s="73"/>
      <c r="H29" s="73"/>
      <c r="I29" s="73"/>
      <c r="J29" s="73"/>
      <c r="K29" s="73"/>
      <c r="L29" s="73"/>
      <c r="M29" s="73"/>
    </row>
    <row r="30" spans="2:14" ht="24.75" customHeight="1" thickBot="1" x14ac:dyDescent="0.25">
      <c r="B30" s="73"/>
      <c r="C30" s="73"/>
      <c r="D30" s="73"/>
      <c r="E30" s="73"/>
      <c r="F30" s="73"/>
      <c r="G30" s="73"/>
      <c r="H30" s="73"/>
      <c r="I30" s="73"/>
      <c r="J30" s="73"/>
      <c r="K30" s="73"/>
      <c r="L30" s="73"/>
      <c r="M30" s="73"/>
    </row>
    <row r="31" spans="2:14" ht="40" customHeight="1" thickTop="1" thickBot="1" x14ac:dyDescent="0.25">
      <c r="B31" s="73"/>
      <c r="C31" s="220" t="s">
        <v>150</v>
      </c>
      <c r="D31" s="221"/>
      <c r="E31" s="221"/>
      <c r="F31" s="73"/>
      <c r="G31" s="75"/>
      <c r="H31" s="75"/>
      <c r="I31" s="75"/>
      <c r="J31" s="75"/>
      <c r="K31" s="75"/>
      <c r="L31" s="75"/>
      <c r="M31" s="73"/>
    </row>
    <row r="32" spans="2:14" ht="25" customHeight="1" thickTop="1" x14ac:dyDescent="0.2">
      <c r="B32" s="73"/>
      <c r="C32" s="171"/>
      <c r="D32" s="172" t="s">
        <v>164</v>
      </c>
      <c r="E32" s="173" t="str">
        <f>calculations!D65</f>
        <v/>
      </c>
      <c r="F32" s="73"/>
      <c r="G32" s="75"/>
      <c r="H32" s="75"/>
      <c r="I32" s="75"/>
      <c r="J32" s="75"/>
      <c r="K32" s="75"/>
      <c r="L32" s="75"/>
      <c r="M32" s="73"/>
    </row>
    <row r="33" spans="2:13" ht="25" customHeight="1" x14ac:dyDescent="0.2">
      <c r="B33" s="73"/>
      <c r="C33" s="90"/>
      <c r="D33" s="174" t="s">
        <v>165</v>
      </c>
      <c r="E33" s="175" t="str">
        <f>calculations!D66</f>
        <v/>
      </c>
      <c r="F33" s="73"/>
      <c r="G33" s="75"/>
      <c r="H33" s="75"/>
      <c r="I33" s="75"/>
      <c r="J33" s="75"/>
      <c r="K33" s="75"/>
      <c r="L33" s="75"/>
      <c r="M33" s="73"/>
    </row>
    <row r="34" spans="2:13" ht="25" customHeight="1" x14ac:dyDescent="0.2">
      <c r="B34" s="73"/>
      <c r="C34" s="89"/>
      <c r="D34" s="176" t="s">
        <v>166</v>
      </c>
      <c r="E34" s="177" t="str">
        <f>calculations!D67</f>
        <v/>
      </c>
      <c r="F34" s="73"/>
      <c r="G34" s="75"/>
      <c r="H34" s="75"/>
      <c r="I34" s="75"/>
      <c r="J34" s="75"/>
      <c r="K34" s="75"/>
      <c r="L34" s="75"/>
      <c r="M34" s="73"/>
    </row>
    <row r="35" spans="2:13" ht="25" customHeight="1" x14ac:dyDescent="0.2">
      <c r="B35" s="73"/>
      <c r="C35" s="91"/>
      <c r="D35" s="178" t="s">
        <v>167</v>
      </c>
      <c r="E35" s="175" t="str">
        <f>calculations!D68</f>
        <v/>
      </c>
      <c r="F35" s="73"/>
      <c r="G35" s="75"/>
      <c r="H35" s="75"/>
      <c r="I35" s="75"/>
      <c r="J35" s="75"/>
      <c r="K35" s="75"/>
      <c r="L35" s="75"/>
      <c r="M35" s="73"/>
    </row>
    <row r="36" spans="2:13" ht="25" customHeight="1" x14ac:dyDescent="0.2">
      <c r="B36" s="73"/>
      <c r="C36" s="92"/>
      <c r="D36" s="179" t="s">
        <v>168</v>
      </c>
      <c r="E36" s="177" t="str">
        <f>calculations!D69</f>
        <v/>
      </c>
      <c r="F36" s="73"/>
      <c r="G36" s="75"/>
      <c r="H36" s="75"/>
      <c r="I36" s="75"/>
      <c r="J36" s="75"/>
      <c r="K36" s="75"/>
      <c r="L36" s="75"/>
      <c r="M36" s="73"/>
    </row>
    <row r="37" spans="2:13" ht="25" customHeight="1" x14ac:dyDescent="0.2">
      <c r="B37" s="73"/>
      <c r="C37" s="180"/>
      <c r="D37" s="174" t="s">
        <v>169</v>
      </c>
      <c r="E37" s="175" t="str">
        <f>calculations!D70</f>
        <v/>
      </c>
      <c r="F37" s="73"/>
      <c r="G37" s="75"/>
      <c r="H37" s="75"/>
      <c r="I37" s="75"/>
      <c r="J37" s="75"/>
      <c r="K37" s="75"/>
      <c r="L37" s="75"/>
      <c r="M37" s="73"/>
    </row>
    <row r="38" spans="2:13" ht="25" customHeight="1" x14ac:dyDescent="0.2">
      <c r="B38" s="73"/>
      <c r="C38" s="92"/>
      <c r="D38" s="179" t="s">
        <v>72</v>
      </c>
      <c r="E38" s="181" t="str">
        <f>calculations!D71</f>
        <v/>
      </c>
      <c r="F38" s="73"/>
      <c r="G38" s="75"/>
      <c r="H38" s="75"/>
      <c r="I38" s="75"/>
      <c r="J38" s="75"/>
      <c r="K38" s="75"/>
      <c r="L38" s="75"/>
      <c r="M38" s="73"/>
    </row>
    <row r="39" spans="2:13" ht="25" customHeight="1" thickBot="1" x14ac:dyDescent="0.25">
      <c r="B39" s="73"/>
      <c r="C39" s="182"/>
      <c r="D39" s="183" t="s">
        <v>73</v>
      </c>
      <c r="E39" s="184" t="str">
        <f>calculations!D72</f>
        <v/>
      </c>
      <c r="F39" s="73"/>
      <c r="G39" s="75"/>
      <c r="H39" s="75"/>
      <c r="I39" s="75"/>
      <c r="J39" s="75"/>
      <c r="K39" s="75"/>
      <c r="L39" s="75"/>
      <c r="M39" s="73"/>
    </row>
    <row r="40" spans="2:13" ht="25" customHeight="1" thickTop="1" x14ac:dyDescent="0.2">
      <c r="B40" s="73"/>
      <c r="C40" s="73"/>
      <c r="D40" s="73"/>
      <c r="E40" s="73"/>
      <c r="F40" s="73"/>
      <c r="G40" s="73"/>
      <c r="H40" s="73"/>
      <c r="I40" s="73"/>
      <c r="J40" s="73"/>
      <c r="K40" s="73"/>
      <c r="L40" s="73"/>
      <c r="M40" s="73"/>
    </row>
    <row r="41" spans="2:13" ht="25" customHeight="1" x14ac:dyDescent="0.2">
      <c r="B41" s="73"/>
      <c r="C41" s="73"/>
      <c r="D41" s="73"/>
      <c r="E41" s="73"/>
      <c r="F41" s="73"/>
      <c r="G41" s="73"/>
      <c r="H41" s="73"/>
      <c r="I41" s="73"/>
      <c r="J41" s="73"/>
      <c r="K41" s="73"/>
      <c r="L41" s="73"/>
      <c r="M41" s="73"/>
    </row>
    <row r="42" spans="2:13" ht="25" customHeight="1" x14ac:dyDescent="0.2">
      <c r="B42" s="73"/>
      <c r="C42" s="73"/>
      <c r="D42" s="73"/>
      <c r="E42" s="73"/>
      <c r="F42" s="73"/>
      <c r="G42" s="73"/>
      <c r="H42" s="73"/>
      <c r="I42" s="73"/>
      <c r="J42" s="73"/>
      <c r="K42" s="73"/>
      <c r="L42" s="73"/>
      <c r="M42" s="73"/>
    </row>
    <row r="43" spans="2:13" ht="25" customHeight="1" x14ac:dyDescent="0.2">
      <c r="B43" s="73"/>
      <c r="C43" s="73"/>
      <c r="D43" s="73"/>
      <c r="E43" s="73"/>
      <c r="F43" s="73"/>
      <c r="G43" s="73"/>
      <c r="H43" s="73"/>
      <c r="I43" s="73"/>
      <c r="J43" s="73"/>
      <c r="K43" s="73"/>
      <c r="L43" s="73"/>
      <c r="M43" s="73"/>
    </row>
    <row r="44" spans="2:13" ht="25" customHeight="1" x14ac:dyDescent="0.2">
      <c r="B44" s="73"/>
      <c r="C44" s="73"/>
      <c r="D44" s="73"/>
      <c r="E44" s="73"/>
      <c r="F44" s="73"/>
      <c r="G44" s="73"/>
      <c r="H44" s="73"/>
      <c r="I44" s="73"/>
      <c r="J44" s="73"/>
      <c r="K44" s="73"/>
      <c r="L44" s="73"/>
      <c r="M44" s="73"/>
    </row>
  </sheetData>
  <mergeCells count="8">
    <mergeCell ref="C25:L25"/>
    <mergeCell ref="C31:E31"/>
    <mergeCell ref="C12:D12"/>
    <mergeCell ref="B1:M1"/>
    <mergeCell ref="C3:E3"/>
    <mergeCell ref="C9:E9"/>
    <mergeCell ref="C5:D5"/>
    <mergeCell ref="C4:D4"/>
  </mergeCells>
  <pageMargins left="0.7" right="0.7" top="0.75" bottom="0.75" header="0.3" footer="0.3"/>
  <pageSetup scale="35" orientation="portrait" r:id="rId1"/>
  <ignoredErrors>
    <ignoredError sqref="E26:L28 E32:E36 E37:E39" unlockedFormula="1"/>
    <ignoredError sqref="C13:C21 C22:C23" numberStoredAsText="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calculations!$U$5:$U$9</xm:f>
          </x14:formula1>
          <xm:sqref>E23:L23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N48"/>
  <sheetViews>
    <sheetView topLeftCell="A27" zoomScaleNormal="100" workbookViewId="0">
      <selection activeCell="D46" sqref="D46"/>
    </sheetView>
  </sheetViews>
  <sheetFormatPr baseColWidth="10" defaultColWidth="10.83203125" defaultRowHeight="25" customHeight="1" x14ac:dyDescent="0.2"/>
  <cols>
    <col min="1" max="1" width="10.83203125" style="3"/>
    <col min="2" max="2" width="10.1640625" style="3" customWidth="1"/>
    <col min="3" max="3" width="4.6640625" style="3" customWidth="1"/>
    <col min="4" max="4" width="87.83203125" style="3" customWidth="1"/>
    <col min="5" max="5" width="12.83203125" style="3" customWidth="1"/>
    <col min="6" max="12" width="12.6640625" style="3" customWidth="1"/>
    <col min="13" max="13" width="10.1640625" style="3" customWidth="1"/>
    <col min="14" max="16384" width="10.83203125" style="3"/>
  </cols>
  <sheetData>
    <row r="1" spans="2:13" ht="115" customHeight="1" thickBot="1" x14ac:dyDescent="0.25">
      <c r="B1" s="209" t="s">
        <v>75</v>
      </c>
      <c r="C1" s="209"/>
      <c r="D1" s="209"/>
      <c r="E1" s="209"/>
      <c r="F1" s="209"/>
      <c r="G1" s="209"/>
      <c r="H1" s="209"/>
      <c r="I1" s="209"/>
      <c r="J1" s="209"/>
      <c r="K1" s="209"/>
      <c r="L1" s="209"/>
      <c r="M1" s="209"/>
    </row>
    <row r="2" spans="2:13" ht="20" customHeight="1" thickTop="1" thickBot="1" x14ac:dyDescent="0.25">
      <c r="B2" s="73"/>
      <c r="C2" s="73"/>
      <c r="D2" s="73"/>
      <c r="E2" s="73"/>
      <c r="F2" s="73"/>
      <c r="G2" s="73"/>
      <c r="H2" s="73"/>
      <c r="I2" s="73"/>
      <c r="J2" s="73"/>
      <c r="K2" s="73"/>
      <c r="L2" s="73"/>
      <c r="M2" s="73"/>
    </row>
    <row r="3" spans="2:13" ht="40" customHeight="1" thickTop="1" thickBot="1" x14ac:dyDescent="0.25">
      <c r="B3" s="73"/>
      <c r="C3" s="222" t="s">
        <v>85</v>
      </c>
      <c r="D3" s="232"/>
      <c r="E3" s="233"/>
      <c r="F3" s="73"/>
      <c r="G3" s="73"/>
      <c r="H3" s="73"/>
      <c r="I3" s="73"/>
      <c r="J3" s="73"/>
      <c r="K3" s="73"/>
      <c r="L3" s="73"/>
      <c r="M3" s="73"/>
    </row>
    <row r="4" spans="2:13" ht="25" customHeight="1" thickTop="1" x14ac:dyDescent="0.2">
      <c r="B4" s="73"/>
      <c r="C4" s="94" t="s">
        <v>7</v>
      </c>
      <c r="D4" s="145" t="s">
        <v>163</v>
      </c>
      <c r="E4" s="126"/>
      <c r="F4" s="73"/>
      <c r="G4" s="73"/>
      <c r="H4" s="73"/>
      <c r="I4" s="73"/>
      <c r="J4" s="73"/>
      <c r="K4" s="73"/>
      <c r="L4" s="73"/>
      <c r="M4" s="73"/>
    </row>
    <row r="5" spans="2:13" ht="25" customHeight="1" x14ac:dyDescent="0.2">
      <c r="B5" s="73"/>
      <c r="C5" s="134"/>
      <c r="D5" s="51" t="s">
        <v>76</v>
      </c>
      <c r="E5" s="164" t="s">
        <v>80</v>
      </c>
      <c r="F5" s="73"/>
      <c r="G5" s="73"/>
      <c r="H5" s="73"/>
      <c r="I5" s="73"/>
      <c r="J5" s="73"/>
      <c r="K5" s="73"/>
      <c r="L5" s="73"/>
      <c r="M5" s="73"/>
    </row>
    <row r="6" spans="2:13" ht="25" customHeight="1" x14ac:dyDescent="0.2">
      <c r="B6" s="73"/>
      <c r="C6" s="135"/>
      <c r="D6" s="147" t="s">
        <v>77</v>
      </c>
      <c r="E6" s="162" t="s">
        <v>80</v>
      </c>
      <c r="F6" s="73"/>
      <c r="G6" s="73"/>
      <c r="H6" s="73"/>
      <c r="I6" s="73"/>
      <c r="J6" s="73"/>
      <c r="K6" s="73"/>
      <c r="L6" s="73"/>
      <c r="M6" s="73"/>
    </row>
    <row r="7" spans="2:13" ht="25" customHeight="1" x14ac:dyDescent="0.2">
      <c r="B7" s="73"/>
      <c r="C7" s="89"/>
      <c r="D7" s="148" t="s">
        <v>78</v>
      </c>
      <c r="E7" s="161" t="s">
        <v>80</v>
      </c>
      <c r="F7" s="73"/>
      <c r="G7" s="73"/>
      <c r="H7" s="73"/>
      <c r="I7" s="73"/>
      <c r="J7" s="73"/>
      <c r="K7" s="73"/>
      <c r="L7" s="73"/>
      <c r="M7" s="73"/>
    </row>
    <row r="8" spans="2:13" ht="25" customHeight="1" x14ac:dyDescent="0.2">
      <c r="B8" s="73"/>
      <c r="C8" s="135"/>
      <c r="D8" s="149" t="s">
        <v>79</v>
      </c>
      <c r="E8" s="162" t="s">
        <v>80</v>
      </c>
      <c r="F8" s="73"/>
      <c r="G8" s="73"/>
      <c r="H8" s="73"/>
      <c r="I8" s="73"/>
      <c r="J8" s="73"/>
      <c r="K8" s="73"/>
      <c r="L8" s="73"/>
      <c r="M8" s="73"/>
    </row>
    <row r="9" spans="2:13" ht="25" customHeight="1" thickBot="1" x14ac:dyDescent="0.25">
      <c r="B9" s="73"/>
      <c r="C9" s="136"/>
      <c r="D9" s="150"/>
      <c r="E9" s="131"/>
      <c r="F9" s="73"/>
      <c r="G9" s="73"/>
      <c r="H9" s="73"/>
      <c r="I9" s="73"/>
      <c r="J9" s="73"/>
      <c r="K9" s="73"/>
      <c r="L9" s="73"/>
      <c r="M9" s="73"/>
    </row>
    <row r="10" spans="2:13" ht="25" customHeight="1" x14ac:dyDescent="0.2">
      <c r="B10" s="73"/>
      <c r="C10" s="154" t="s">
        <v>8</v>
      </c>
      <c r="D10" s="151" t="s">
        <v>156</v>
      </c>
      <c r="E10" s="125"/>
      <c r="F10" s="73"/>
      <c r="G10" s="73"/>
      <c r="H10" s="73"/>
      <c r="I10" s="73"/>
      <c r="J10" s="73"/>
      <c r="K10" s="73"/>
      <c r="L10" s="73"/>
      <c r="M10" s="73"/>
    </row>
    <row r="11" spans="2:13" ht="25" customHeight="1" x14ac:dyDescent="0.2">
      <c r="B11" s="73"/>
      <c r="C11" s="89"/>
      <c r="D11" s="148" t="s">
        <v>157</v>
      </c>
      <c r="E11" s="132" t="str">
        <f>IFERROR('Week 2'!E39, "*Error in calculation")</f>
        <v/>
      </c>
      <c r="F11" s="73"/>
      <c r="G11" s="73"/>
      <c r="H11" s="73"/>
      <c r="I11" s="73"/>
      <c r="J11" s="73"/>
      <c r="K11" s="73"/>
      <c r="L11" s="73"/>
      <c r="M11" s="73"/>
    </row>
    <row r="12" spans="2:13" ht="75" customHeight="1" x14ac:dyDescent="0.2">
      <c r="B12" s="73"/>
      <c r="C12" s="135"/>
      <c r="D12" s="149" t="s">
        <v>160</v>
      </c>
      <c r="E12" s="155" t="str">
        <f>calculations!S97</f>
        <v> Do not change your Time in Bed</v>
      </c>
      <c r="F12" s="73"/>
      <c r="G12" s="73"/>
      <c r="H12" s="73"/>
      <c r="I12" s="73"/>
      <c r="J12" s="73"/>
      <c r="K12" s="73"/>
      <c r="L12" s="73"/>
      <c r="M12" s="73"/>
    </row>
    <row r="13" spans="2:13" s="159" customFormat="1" ht="35" customHeight="1" x14ac:dyDescent="0.25">
      <c r="B13" s="156"/>
      <c r="C13" s="157"/>
      <c r="D13" s="158" t="s">
        <v>95</v>
      </c>
      <c r="E13" s="133" t="str">
        <f>IFERROR(calculations!T104, "*Error in calculation")</f>
        <v>*Error in calculation</v>
      </c>
      <c r="F13" s="167" t="str">
        <f>IF(E13&lt;=0.229166666666667,"&lt;&lt; Do not decrease your time in bed to under 5 ½ hours (330 Minutes). ","")</f>
        <v/>
      </c>
      <c r="G13" s="156"/>
      <c r="H13" s="156"/>
      <c r="I13" s="156"/>
      <c r="J13" s="156"/>
      <c r="K13" s="156"/>
      <c r="L13" s="156"/>
      <c r="M13" s="156"/>
    </row>
    <row r="14" spans="2:13" ht="35" customHeight="1" x14ac:dyDescent="0.2">
      <c r="B14" s="73"/>
      <c r="C14" s="152"/>
      <c r="D14" s="153" t="s">
        <v>92</v>
      </c>
      <c r="E14" s="155" t="str">
        <f>IFERROR(calculations!S107, "*Error in calculation")</f>
        <v>*Error in calculation</v>
      </c>
      <c r="F14" s="73"/>
      <c r="G14" s="73"/>
      <c r="H14" s="73"/>
      <c r="I14" s="73"/>
      <c r="J14" s="73"/>
      <c r="K14" s="73"/>
      <c r="L14" s="73"/>
      <c r="M14" s="73"/>
    </row>
    <row r="15" spans="2:13" ht="25" customHeight="1" thickBot="1" x14ac:dyDescent="0.25">
      <c r="B15" s="73"/>
      <c r="C15" s="235" t="s">
        <v>143</v>
      </c>
      <c r="D15" s="236"/>
      <c r="E15" s="237"/>
      <c r="F15" s="73"/>
      <c r="G15" s="73"/>
      <c r="H15" s="73"/>
      <c r="I15" s="73"/>
      <c r="J15" s="73"/>
      <c r="K15" s="73"/>
      <c r="L15" s="73"/>
      <c r="M15" s="73"/>
    </row>
    <row r="16" spans="2:13" ht="25" customHeight="1" thickTop="1" x14ac:dyDescent="0.2">
      <c r="B16" s="73"/>
      <c r="C16" s="73"/>
      <c r="D16" s="73"/>
      <c r="E16" s="73"/>
      <c r="F16" s="73"/>
      <c r="G16" s="73"/>
      <c r="H16" s="73"/>
      <c r="I16" s="73"/>
      <c r="J16" s="73"/>
      <c r="K16" s="73"/>
      <c r="L16" s="73"/>
      <c r="M16" s="73"/>
    </row>
    <row r="17" spans="2:14" ht="25" customHeight="1" thickBot="1" x14ac:dyDescent="0.25">
      <c r="B17" s="73"/>
      <c r="C17" s="73"/>
      <c r="D17" s="73"/>
      <c r="E17" s="73"/>
      <c r="F17" s="73"/>
      <c r="G17" s="73"/>
      <c r="H17" s="73"/>
      <c r="I17" s="73"/>
      <c r="J17" s="73"/>
      <c r="K17" s="73"/>
      <c r="L17" s="73"/>
      <c r="M17" s="73"/>
    </row>
    <row r="18" spans="2:14" ht="40" customHeight="1" thickTop="1" thickBot="1" x14ac:dyDescent="0.25">
      <c r="B18" s="73"/>
      <c r="C18" s="214" t="s">
        <v>124</v>
      </c>
      <c r="D18" s="215" t="s">
        <v>124</v>
      </c>
      <c r="E18" s="77" t="s">
        <v>58</v>
      </c>
      <c r="F18" s="78" t="s">
        <v>17</v>
      </c>
      <c r="G18" s="78" t="s">
        <v>18</v>
      </c>
      <c r="H18" s="78" t="s">
        <v>19</v>
      </c>
      <c r="I18" s="78" t="s">
        <v>20</v>
      </c>
      <c r="J18" s="78" t="s">
        <v>21</v>
      </c>
      <c r="K18" s="76" t="s">
        <v>22</v>
      </c>
      <c r="L18" s="79" t="s">
        <v>23</v>
      </c>
      <c r="M18" s="73"/>
      <c r="N18" s="46"/>
    </row>
    <row r="19" spans="2:14" ht="25" customHeight="1" thickTop="1" x14ac:dyDescent="0.2">
      <c r="B19" s="73"/>
      <c r="C19" s="88" t="s">
        <v>7</v>
      </c>
      <c r="D19" s="116" t="s">
        <v>0</v>
      </c>
      <c r="E19" s="110">
        <v>40544</v>
      </c>
      <c r="F19" s="96"/>
      <c r="G19" s="96"/>
      <c r="H19" s="96"/>
      <c r="I19" s="96"/>
      <c r="J19" s="96"/>
      <c r="K19" s="96"/>
      <c r="L19" s="97"/>
      <c r="M19" s="73"/>
      <c r="N19" s="6"/>
    </row>
    <row r="20" spans="2:14" ht="25" customHeight="1" x14ac:dyDescent="0.2">
      <c r="B20" s="73"/>
      <c r="C20" s="89" t="s">
        <v>8</v>
      </c>
      <c r="D20" s="117" t="s">
        <v>25</v>
      </c>
      <c r="E20" s="111">
        <v>30</v>
      </c>
      <c r="F20" s="98"/>
      <c r="G20" s="98"/>
      <c r="H20" s="98"/>
      <c r="I20" s="98"/>
      <c r="J20" s="98"/>
      <c r="K20" s="98"/>
      <c r="L20" s="99"/>
      <c r="M20" s="73"/>
      <c r="N20" s="7"/>
    </row>
    <row r="21" spans="2:14" ht="25" customHeight="1" x14ac:dyDescent="0.2">
      <c r="B21" s="73"/>
      <c r="C21" s="90" t="s">
        <v>9</v>
      </c>
      <c r="D21" s="118" t="s">
        <v>1</v>
      </c>
      <c r="E21" s="112">
        <v>0.97916666666666663</v>
      </c>
      <c r="F21" s="100"/>
      <c r="G21" s="100"/>
      <c r="H21" s="100"/>
      <c r="I21" s="100"/>
      <c r="J21" s="100"/>
      <c r="K21" s="100"/>
      <c r="L21" s="101"/>
      <c r="M21" s="73"/>
      <c r="N21" s="7"/>
    </row>
    <row r="22" spans="2:14" ht="25" customHeight="1" x14ac:dyDescent="0.2">
      <c r="B22" s="73"/>
      <c r="C22" s="89" t="s">
        <v>10</v>
      </c>
      <c r="D22" s="117" t="s">
        <v>2</v>
      </c>
      <c r="E22" s="113">
        <v>0.98958333333333337</v>
      </c>
      <c r="F22" s="102"/>
      <c r="G22" s="102"/>
      <c r="H22" s="102"/>
      <c r="I22" s="102"/>
      <c r="J22" s="102"/>
      <c r="K22" s="102"/>
      <c r="L22" s="103"/>
      <c r="M22" s="73"/>
      <c r="N22" s="7"/>
    </row>
    <row r="23" spans="2:14" ht="25" customHeight="1" x14ac:dyDescent="0.2">
      <c r="B23" s="73"/>
      <c r="C23" s="91" t="s">
        <v>11</v>
      </c>
      <c r="D23" s="119" t="s">
        <v>16</v>
      </c>
      <c r="E23" s="114">
        <v>30</v>
      </c>
      <c r="F23" s="104"/>
      <c r="G23" s="104"/>
      <c r="H23" s="104"/>
      <c r="I23" s="104"/>
      <c r="J23" s="104"/>
      <c r="K23" s="104"/>
      <c r="L23" s="105"/>
      <c r="M23" s="73"/>
      <c r="N23" s="8"/>
    </row>
    <row r="24" spans="2:14" ht="25" customHeight="1" x14ac:dyDescent="0.2">
      <c r="B24" s="73"/>
      <c r="C24" s="92" t="s">
        <v>12</v>
      </c>
      <c r="D24" s="120" t="s">
        <v>3</v>
      </c>
      <c r="E24" s="111">
        <v>2</v>
      </c>
      <c r="F24" s="98"/>
      <c r="G24" s="98"/>
      <c r="H24" s="98"/>
      <c r="I24" s="98"/>
      <c r="J24" s="98"/>
      <c r="K24" s="98"/>
      <c r="L24" s="99"/>
      <c r="M24" s="73"/>
      <c r="N24" s="8"/>
    </row>
    <row r="25" spans="2:14" ht="25" customHeight="1" x14ac:dyDescent="0.2">
      <c r="B25" s="73"/>
      <c r="C25" s="90" t="s">
        <v>13</v>
      </c>
      <c r="D25" s="118" t="s">
        <v>4</v>
      </c>
      <c r="E25" s="114">
        <v>60</v>
      </c>
      <c r="F25" s="104"/>
      <c r="G25" s="106"/>
      <c r="H25" s="106"/>
      <c r="I25" s="106"/>
      <c r="J25" s="106"/>
      <c r="K25" s="106"/>
      <c r="L25" s="107"/>
      <c r="M25" s="73"/>
      <c r="N25" s="7"/>
    </row>
    <row r="26" spans="2:14" ht="25" customHeight="1" x14ac:dyDescent="0.2">
      <c r="B26" s="73"/>
      <c r="C26" s="92" t="s">
        <v>14</v>
      </c>
      <c r="D26" s="120" t="s">
        <v>5</v>
      </c>
      <c r="E26" s="113">
        <v>0.29166666666666669</v>
      </c>
      <c r="F26" s="102"/>
      <c r="G26" s="102"/>
      <c r="H26" s="102"/>
      <c r="I26" s="102"/>
      <c r="J26" s="102"/>
      <c r="K26" s="102"/>
      <c r="L26" s="103"/>
      <c r="M26" s="73"/>
      <c r="N26" s="8"/>
    </row>
    <row r="27" spans="2:14" ht="25" customHeight="1" x14ac:dyDescent="0.2">
      <c r="B27" s="73"/>
      <c r="C27" s="90" t="s">
        <v>15</v>
      </c>
      <c r="D27" s="118" t="s">
        <v>6</v>
      </c>
      <c r="E27" s="112">
        <v>0.33333333333333331</v>
      </c>
      <c r="F27" s="100"/>
      <c r="G27" s="100"/>
      <c r="H27" s="100"/>
      <c r="I27" s="100"/>
      <c r="J27" s="100"/>
      <c r="K27" s="100"/>
      <c r="L27" s="101"/>
      <c r="M27" s="73"/>
      <c r="N27" s="7"/>
    </row>
    <row r="28" spans="2:14" ht="25" customHeight="1" x14ac:dyDescent="0.2">
      <c r="B28" s="73"/>
      <c r="C28" s="93" t="s">
        <v>26</v>
      </c>
      <c r="D28" s="117" t="s">
        <v>137</v>
      </c>
      <c r="E28" s="111">
        <v>30</v>
      </c>
      <c r="F28" s="98"/>
      <c r="G28" s="98"/>
      <c r="H28" s="98"/>
      <c r="I28" s="98"/>
      <c r="J28" s="98"/>
      <c r="K28" s="98"/>
      <c r="L28" s="99"/>
      <c r="M28" s="73"/>
      <c r="N28" s="7"/>
    </row>
    <row r="29" spans="2:14" ht="25" customHeight="1" thickBot="1" x14ac:dyDescent="0.25">
      <c r="B29" s="73"/>
      <c r="C29" s="94" t="s">
        <v>104</v>
      </c>
      <c r="D29" s="121" t="s">
        <v>105</v>
      </c>
      <c r="E29" s="115" t="s">
        <v>109</v>
      </c>
      <c r="F29" s="108"/>
      <c r="G29" s="108"/>
      <c r="H29" s="108"/>
      <c r="I29" s="108"/>
      <c r="J29" s="108"/>
      <c r="K29" s="108"/>
      <c r="L29" s="109"/>
      <c r="M29" s="73"/>
      <c r="N29" s="7"/>
    </row>
    <row r="30" spans="2:14" ht="25" hidden="1" customHeight="1" x14ac:dyDescent="0.2">
      <c r="B30" s="73"/>
      <c r="C30" s="86"/>
      <c r="D30" s="30" t="s">
        <v>70</v>
      </c>
      <c r="E30" s="37">
        <v>0.85</v>
      </c>
      <c r="F30" s="37">
        <v>0.85</v>
      </c>
      <c r="G30" s="37">
        <v>0.85</v>
      </c>
      <c r="H30" s="37">
        <v>0.85</v>
      </c>
      <c r="I30" s="37">
        <v>0.85</v>
      </c>
      <c r="J30" s="37">
        <v>0.85</v>
      </c>
      <c r="K30" s="37">
        <v>0.85</v>
      </c>
      <c r="L30" s="95">
        <v>0.85</v>
      </c>
      <c r="M30" s="73"/>
      <c r="N30" s="7"/>
    </row>
    <row r="31" spans="2:14" ht="40" customHeight="1" thickTop="1" thickBot="1" x14ac:dyDescent="0.25">
      <c r="B31" s="73"/>
      <c r="C31" s="217" t="s">
        <v>140</v>
      </c>
      <c r="D31" s="218"/>
      <c r="E31" s="218"/>
      <c r="F31" s="218"/>
      <c r="G31" s="218"/>
      <c r="H31" s="218"/>
      <c r="I31" s="218"/>
      <c r="J31" s="218"/>
      <c r="K31" s="218"/>
      <c r="L31" s="219"/>
      <c r="M31" s="73"/>
      <c r="N31" s="5"/>
    </row>
    <row r="32" spans="2:14" ht="25" customHeight="1" thickTop="1" x14ac:dyDescent="0.2">
      <c r="B32" s="73"/>
      <c r="C32" s="122"/>
      <c r="D32" s="185" t="s">
        <v>27</v>
      </c>
      <c r="E32" s="186">
        <f>calculations!D94</f>
        <v>0.34374999999999989</v>
      </c>
      <c r="F32" s="186">
        <f>calculations!E94</f>
        <v>0</v>
      </c>
      <c r="G32" s="186">
        <f>calculations!F94</f>
        <v>0</v>
      </c>
      <c r="H32" s="186">
        <f>calculations!G94</f>
        <v>0</v>
      </c>
      <c r="I32" s="186">
        <f>calculations!H94</f>
        <v>0</v>
      </c>
      <c r="J32" s="186">
        <f>calculations!I94</f>
        <v>0</v>
      </c>
      <c r="K32" s="186">
        <f>calculations!J94</f>
        <v>0</v>
      </c>
      <c r="L32" s="187">
        <f>calculations!K94</f>
        <v>0</v>
      </c>
      <c r="M32" s="73"/>
      <c r="N32" s="4"/>
    </row>
    <row r="33" spans="2:14" ht="25" customHeight="1" x14ac:dyDescent="0.2">
      <c r="B33" s="73"/>
      <c r="C33" s="123"/>
      <c r="D33" s="188" t="s">
        <v>28</v>
      </c>
      <c r="E33" s="189">
        <f>calculations!D95</f>
        <v>0.23958333333333318</v>
      </c>
      <c r="F33" s="189">
        <f>calculations!E95</f>
        <v>0</v>
      </c>
      <c r="G33" s="189">
        <f>calculations!F95</f>
        <v>0</v>
      </c>
      <c r="H33" s="189">
        <f>calculations!G95</f>
        <v>0</v>
      </c>
      <c r="I33" s="189">
        <f>calculations!H95</f>
        <v>0</v>
      </c>
      <c r="J33" s="189">
        <f>calculations!I95</f>
        <v>0</v>
      </c>
      <c r="K33" s="189">
        <f>calculations!J95</f>
        <v>0</v>
      </c>
      <c r="L33" s="190">
        <f>calculations!K95</f>
        <v>0</v>
      </c>
      <c r="M33" s="73"/>
      <c r="N33" s="4"/>
    </row>
    <row r="34" spans="2:14" ht="25" customHeight="1" thickBot="1" x14ac:dyDescent="0.25">
      <c r="B34" s="73"/>
      <c r="C34" s="124"/>
      <c r="D34" s="191" t="s">
        <v>29</v>
      </c>
      <c r="E34" s="192">
        <f>calculations!D96</f>
        <v>0.69696969696969668</v>
      </c>
      <c r="F34" s="192" t="str">
        <f>calculations!E96</f>
        <v/>
      </c>
      <c r="G34" s="192" t="str">
        <f>calculations!F96</f>
        <v/>
      </c>
      <c r="H34" s="192" t="str">
        <f>calculations!G96</f>
        <v/>
      </c>
      <c r="I34" s="192" t="str">
        <f>calculations!H96</f>
        <v/>
      </c>
      <c r="J34" s="192" t="str">
        <f>calculations!I96</f>
        <v/>
      </c>
      <c r="K34" s="192" t="str">
        <f>calculations!J96</f>
        <v/>
      </c>
      <c r="L34" s="193" t="str">
        <f>calculations!K96</f>
        <v/>
      </c>
      <c r="M34" s="73"/>
      <c r="N34" s="4"/>
    </row>
    <row r="35" spans="2:14" ht="25" customHeight="1" thickTop="1" x14ac:dyDescent="0.2">
      <c r="B35" s="73"/>
      <c r="C35" s="73"/>
      <c r="D35" s="73"/>
      <c r="E35" s="73"/>
      <c r="F35" s="73"/>
      <c r="G35" s="73"/>
      <c r="H35" s="73"/>
      <c r="I35" s="73"/>
      <c r="J35" s="73"/>
      <c r="K35" s="73"/>
      <c r="L35" s="73"/>
      <c r="M35" s="73"/>
    </row>
    <row r="36" spans="2:14" ht="25" customHeight="1" thickBot="1" x14ac:dyDescent="0.25">
      <c r="B36" s="73"/>
      <c r="C36" s="73"/>
      <c r="D36" s="73"/>
      <c r="E36" s="73"/>
      <c r="F36" s="73"/>
      <c r="G36" s="73"/>
      <c r="H36" s="73"/>
      <c r="I36" s="73"/>
      <c r="J36" s="73"/>
      <c r="K36" s="73"/>
      <c r="L36" s="73"/>
      <c r="M36" s="73"/>
    </row>
    <row r="37" spans="2:14" ht="40" customHeight="1" thickTop="1" thickBot="1" x14ac:dyDescent="0.25">
      <c r="B37" s="73"/>
      <c r="C37" s="220" t="s">
        <v>151</v>
      </c>
      <c r="D37" s="221"/>
      <c r="E37" s="234"/>
      <c r="F37" s="73"/>
      <c r="G37" s="73"/>
      <c r="H37" s="73"/>
      <c r="I37" s="73"/>
      <c r="J37" s="73"/>
      <c r="K37" s="73"/>
      <c r="L37" s="73"/>
      <c r="M37" s="73"/>
    </row>
    <row r="38" spans="2:14" ht="25" customHeight="1" thickTop="1" x14ac:dyDescent="0.2">
      <c r="B38" s="73"/>
      <c r="C38" s="171"/>
      <c r="D38" s="172" t="s">
        <v>164</v>
      </c>
      <c r="E38" s="173" t="str">
        <f>calculations!D100</f>
        <v/>
      </c>
      <c r="F38" s="73"/>
      <c r="G38" s="73"/>
      <c r="H38" s="73"/>
      <c r="I38" s="73"/>
      <c r="J38" s="73"/>
      <c r="K38" s="73"/>
      <c r="L38" s="73"/>
      <c r="M38" s="73"/>
    </row>
    <row r="39" spans="2:14" ht="25" customHeight="1" x14ac:dyDescent="0.2">
      <c r="B39" s="73"/>
      <c r="C39" s="90"/>
      <c r="D39" s="174" t="s">
        <v>165</v>
      </c>
      <c r="E39" s="175" t="str">
        <f>calculations!D101</f>
        <v/>
      </c>
      <c r="F39" s="73"/>
      <c r="G39" s="73"/>
      <c r="H39" s="73"/>
      <c r="I39" s="73"/>
      <c r="J39" s="73"/>
      <c r="K39" s="73"/>
      <c r="L39" s="73"/>
      <c r="M39" s="73"/>
    </row>
    <row r="40" spans="2:14" ht="25" customHeight="1" x14ac:dyDescent="0.2">
      <c r="B40" s="73"/>
      <c r="C40" s="89"/>
      <c r="D40" s="176" t="s">
        <v>166</v>
      </c>
      <c r="E40" s="177" t="str">
        <f>calculations!D102</f>
        <v/>
      </c>
      <c r="F40" s="73"/>
      <c r="G40" s="73"/>
      <c r="H40" s="73"/>
      <c r="I40" s="73"/>
      <c r="J40" s="73"/>
      <c r="K40" s="73"/>
      <c r="L40" s="73"/>
      <c r="M40" s="73"/>
    </row>
    <row r="41" spans="2:14" ht="25" customHeight="1" x14ac:dyDescent="0.2">
      <c r="B41" s="73"/>
      <c r="C41" s="91"/>
      <c r="D41" s="178" t="s">
        <v>167</v>
      </c>
      <c r="E41" s="175" t="str">
        <f>calculations!D103</f>
        <v/>
      </c>
      <c r="F41" s="73"/>
      <c r="G41" s="73"/>
      <c r="H41" s="73"/>
      <c r="I41" s="73"/>
      <c r="J41" s="73"/>
      <c r="K41" s="73"/>
      <c r="L41" s="73"/>
      <c r="M41" s="73"/>
    </row>
    <row r="42" spans="2:14" ht="25" customHeight="1" x14ac:dyDescent="0.2">
      <c r="B42" s="73"/>
      <c r="C42" s="92"/>
      <c r="D42" s="179" t="s">
        <v>168</v>
      </c>
      <c r="E42" s="177" t="str">
        <f>calculations!D104</f>
        <v/>
      </c>
      <c r="F42" s="73"/>
      <c r="G42" s="73"/>
      <c r="H42" s="73"/>
      <c r="I42" s="73"/>
      <c r="J42" s="73"/>
      <c r="K42" s="73"/>
      <c r="L42" s="73"/>
      <c r="M42" s="73"/>
    </row>
    <row r="43" spans="2:14" ht="25" customHeight="1" x14ac:dyDescent="0.2">
      <c r="B43" s="73"/>
      <c r="C43" s="180"/>
      <c r="D43" s="174" t="s">
        <v>169</v>
      </c>
      <c r="E43" s="175" t="str">
        <f>calculations!D105</f>
        <v/>
      </c>
      <c r="F43" s="73"/>
      <c r="G43" s="73"/>
      <c r="H43" s="73"/>
      <c r="I43" s="73"/>
      <c r="J43" s="73"/>
      <c r="K43" s="73"/>
      <c r="L43" s="73"/>
      <c r="M43" s="73"/>
    </row>
    <row r="44" spans="2:14" ht="25" customHeight="1" x14ac:dyDescent="0.2">
      <c r="B44" s="73"/>
      <c r="C44" s="92"/>
      <c r="D44" s="179" t="s">
        <v>72</v>
      </c>
      <c r="E44" s="181" t="str">
        <f>calculations!D106</f>
        <v/>
      </c>
      <c r="F44" s="73"/>
      <c r="G44" s="73"/>
      <c r="H44" s="73"/>
      <c r="I44" s="73"/>
      <c r="J44" s="73"/>
      <c r="K44" s="73"/>
      <c r="L44" s="73"/>
      <c r="M44" s="73"/>
    </row>
    <row r="45" spans="2:14" ht="25" customHeight="1" thickBot="1" x14ac:dyDescent="0.25">
      <c r="B45" s="73"/>
      <c r="C45" s="182"/>
      <c r="D45" s="183" t="s">
        <v>73</v>
      </c>
      <c r="E45" s="184" t="str">
        <f>calculations!D107</f>
        <v/>
      </c>
      <c r="F45" s="73"/>
      <c r="G45" s="73"/>
      <c r="H45" s="73"/>
      <c r="I45" s="73"/>
      <c r="J45" s="73"/>
      <c r="K45" s="73"/>
      <c r="L45" s="73"/>
      <c r="M45" s="73"/>
    </row>
    <row r="46" spans="2:14" ht="25" customHeight="1" thickTop="1" x14ac:dyDescent="0.2">
      <c r="B46" s="73"/>
      <c r="C46" s="73"/>
      <c r="D46" s="73"/>
      <c r="E46" s="73"/>
      <c r="F46" s="73"/>
      <c r="G46" s="73"/>
      <c r="H46" s="73"/>
      <c r="I46" s="73"/>
      <c r="J46" s="73"/>
      <c r="K46" s="73"/>
      <c r="L46" s="73"/>
      <c r="M46" s="73"/>
    </row>
    <row r="47" spans="2:14" ht="25" customHeight="1" x14ac:dyDescent="0.2">
      <c r="B47" s="73"/>
      <c r="C47" s="73"/>
      <c r="D47" s="73"/>
      <c r="E47" s="73"/>
      <c r="F47" s="73"/>
      <c r="G47" s="73"/>
      <c r="H47" s="73"/>
      <c r="I47" s="73"/>
      <c r="J47" s="73"/>
      <c r="K47" s="73"/>
      <c r="L47" s="73"/>
      <c r="M47" s="73"/>
    </row>
    <row r="48" spans="2:14" ht="25" customHeight="1" x14ac:dyDescent="0.2">
      <c r="B48" s="73"/>
      <c r="C48" s="73"/>
      <c r="D48" s="73"/>
      <c r="E48" s="73"/>
      <c r="F48" s="73"/>
      <c r="G48" s="73"/>
      <c r="H48" s="73"/>
      <c r="I48" s="73"/>
      <c r="J48" s="73"/>
      <c r="K48" s="73"/>
      <c r="L48" s="73"/>
      <c r="M48" s="73"/>
    </row>
  </sheetData>
  <mergeCells count="6">
    <mergeCell ref="B1:M1"/>
    <mergeCell ref="C3:E3"/>
    <mergeCell ref="C37:E37"/>
    <mergeCell ref="C31:L31"/>
    <mergeCell ref="C15:E15"/>
    <mergeCell ref="C18:D18"/>
  </mergeCells>
  <pageMargins left="0.7" right="0.7" top="0.75" bottom="0.75" header="0.3" footer="0.3"/>
  <pageSetup scale="32" orientation="portrait" r:id="rId1"/>
  <ignoredErrors>
    <ignoredError sqref="C4 C10 C19:C29" numberStoredAsText="1"/>
    <ignoredError sqref="E32:L34"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calculations!$S$5:$S$9</xm:f>
          </x14:formula1>
          <xm:sqref>E5:E8</xm:sqref>
        </x14:dataValidation>
        <x14:dataValidation type="list" allowBlank="1" showInputMessage="1" showErrorMessage="1" xr:uid="{00000000-0002-0000-0300-000001000000}">
          <x14:formula1>
            <xm:f>calculations!$U$5:$U$9</xm:f>
          </x14:formula1>
          <xm:sqref>E29:L29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N48"/>
  <sheetViews>
    <sheetView topLeftCell="A23" zoomScaleNormal="100" workbookViewId="0">
      <selection activeCell="D44" sqref="D44"/>
    </sheetView>
  </sheetViews>
  <sheetFormatPr baseColWidth="10" defaultColWidth="10.83203125" defaultRowHeight="25" customHeight="1" x14ac:dyDescent="0.2"/>
  <cols>
    <col min="1" max="1" width="10.83203125" style="3"/>
    <col min="2" max="2" width="10.1640625" style="3" customWidth="1"/>
    <col min="3" max="3" width="4.6640625" style="3" customWidth="1"/>
    <col min="4" max="4" width="87.83203125" style="3" customWidth="1"/>
    <col min="5" max="5" width="12.83203125" style="3" customWidth="1"/>
    <col min="6" max="12" width="12.6640625" style="3" customWidth="1"/>
    <col min="13" max="13" width="10.1640625" style="3" customWidth="1"/>
    <col min="14" max="16384" width="10.83203125" style="3"/>
  </cols>
  <sheetData>
    <row r="1" spans="2:13" ht="115" customHeight="1" thickBot="1" x14ac:dyDescent="0.25">
      <c r="B1" s="209" t="s">
        <v>125</v>
      </c>
      <c r="C1" s="209"/>
      <c r="D1" s="209"/>
      <c r="E1" s="209"/>
      <c r="F1" s="209"/>
      <c r="G1" s="209"/>
      <c r="H1" s="209"/>
      <c r="I1" s="209"/>
      <c r="J1" s="209"/>
      <c r="K1" s="209"/>
      <c r="L1" s="209"/>
      <c r="M1" s="209"/>
    </row>
    <row r="2" spans="2:13" ht="20" customHeight="1" thickTop="1" thickBot="1" x14ac:dyDescent="0.25">
      <c r="B2" s="65"/>
      <c r="C2" s="65"/>
      <c r="D2" s="65"/>
      <c r="E2" s="65"/>
      <c r="F2" s="65"/>
      <c r="G2" s="65"/>
      <c r="H2" s="65"/>
      <c r="I2" s="65"/>
      <c r="J2" s="65"/>
      <c r="K2" s="65"/>
      <c r="L2" s="65"/>
      <c r="M2" s="65"/>
    </row>
    <row r="3" spans="2:13" ht="40" customHeight="1" thickTop="1" thickBot="1" x14ac:dyDescent="0.25">
      <c r="B3" s="65"/>
      <c r="C3" s="222" t="s">
        <v>85</v>
      </c>
      <c r="D3" s="232" t="s">
        <v>85</v>
      </c>
      <c r="E3" s="233"/>
      <c r="F3" s="65"/>
      <c r="G3" s="65"/>
      <c r="H3" s="65"/>
      <c r="I3" s="65"/>
      <c r="J3" s="65"/>
      <c r="K3" s="65"/>
      <c r="L3" s="65"/>
      <c r="M3" s="65"/>
    </row>
    <row r="4" spans="2:13" ht="25" customHeight="1" thickTop="1" x14ac:dyDescent="0.2">
      <c r="B4" s="65"/>
      <c r="C4" s="94" t="s">
        <v>7</v>
      </c>
      <c r="D4" s="145" t="s">
        <v>163</v>
      </c>
      <c r="E4" s="126"/>
      <c r="F4" s="65"/>
      <c r="G4" s="65"/>
      <c r="H4" s="65"/>
      <c r="I4" s="65"/>
      <c r="J4" s="65"/>
      <c r="K4" s="65"/>
      <c r="L4" s="65"/>
      <c r="M4" s="65"/>
    </row>
    <row r="5" spans="2:13" ht="25" customHeight="1" x14ac:dyDescent="0.2">
      <c r="B5" s="65"/>
      <c r="C5" s="134"/>
      <c r="D5" s="146" t="s">
        <v>76</v>
      </c>
      <c r="E5" s="161" t="s">
        <v>80</v>
      </c>
      <c r="F5" s="65"/>
      <c r="G5" s="65"/>
      <c r="H5" s="65"/>
      <c r="I5" s="65"/>
      <c r="J5" s="65"/>
      <c r="K5" s="65"/>
      <c r="L5" s="65"/>
      <c r="M5" s="65"/>
    </row>
    <row r="6" spans="2:13" ht="25" customHeight="1" x14ac:dyDescent="0.2">
      <c r="B6" s="65"/>
      <c r="C6" s="135"/>
      <c r="D6" s="147" t="s">
        <v>77</v>
      </c>
      <c r="E6" s="162" t="s">
        <v>80</v>
      </c>
      <c r="F6" s="65"/>
      <c r="G6" s="65"/>
      <c r="H6" s="65"/>
      <c r="I6" s="65"/>
      <c r="J6" s="65"/>
      <c r="K6" s="65"/>
      <c r="L6" s="65"/>
      <c r="M6" s="65"/>
    </row>
    <row r="7" spans="2:13" ht="25" customHeight="1" x14ac:dyDescent="0.2">
      <c r="B7" s="65"/>
      <c r="C7" s="89"/>
      <c r="D7" s="148" t="s">
        <v>78</v>
      </c>
      <c r="E7" s="161" t="s">
        <v>80</v>
      </c>
      <c r="F7" s="65"/>
      <c r="G7" s="65"/>
      <c r="H7" s="65"/>
      <c r="I7" s="65"/>
      <c r="J7" s="65"/>
      <c r="K7" s="65"/>
      <c r="L7" s="65"/>
      <c r="M7" s="65"/>
    </row>
    <row r="8" spans="2:13" ht="25" customHeight="1" x14ac:dyDescent="0.2">
      <c r="B8" s="65"/>
      <c r="C8" s="152"/>
      <c r="D8" s="153" t="s">
        <v>79</v>
      </c>
      <c r="E8" s="163" t="s">
        <v>80</v>
      </c>
      <c r="F8" s="65"/>
      <c r="G8" s="65"/>
      <c r="H8" s="65"/>
      <c r="I8" s="65"/>
      <c r="J8" s="65"/>
      <c r="K8" s="65"/>
      <c r="L8" s="65"/>
      <c r="M8" s="65"/>
    </row>
    <row r="9" spans="2:13" ht="25" customHeight="1" thickBot="1" x14ac:dyDescent="0.25">
      <c r="B9" s="65"/>
      <c r="C9" s="136"/>
      <c r="D9" s="137"/>
      <c r="E9" s="131"/>
      <c r="F9" s="65"/>
      <c r="G9" s="65"/>
      <c r="H9" s="65"/>
      <c r="I9" s="65"/>
      <c r="J9" s="65"/>
      <c r="K9" s="65"/>
      <c r="L9" s="65"/>
      <c r="M9" s="65"/>
    </row>
    <row r="10" spans="2:13" ht="25" customHeight="1" x14ac:dyDescent="0.2">
      <c r="B10" s="65"/>
      <c r="C10" s="154" t="s">
        <v>8</v>
      </c>
      <c r="D10" s="151" t="s">
        <v>156</v>
      </c>
      <c r="E10" s="125"/>
      <c r="F10" s="65"/>
      <c r="G10" s="65"/>
      <c r="H10" s="65"/>
      <c r="I10" s="65"/>
      <c r="J10" s="65"/>
      <c r="K10" s="65"/>
      <c r="L10" s="65"/>
      <c r="M10" s="65"/>
    </row>
    <row r="11" spans="2:13" ht="25" customHeight="1" x14ac:dyDescent="0.2">
      <c r="B11" s="65"/>
      <c r="C11" s="89"/>
      <c r="D11" s="148" t="s">
        <v>158</v>
      </c>
      <c r="E11" s="132" t="str">
        <f>IFERROR('Week 3'!E45, "*Error in calculation")</f>
        <v/>
      </c>
      <c r="F11" s="65"/>
      <c r="G11" s="65"/>
      <c r="H11" s="65"/>
      <c r="I11" s="65"/>
      <c r="J11" s="65"/>
      <c r="K11" s="65"/>
      <c r="L11" s="65"/>
      <c r="M11" s="65"/>
    </row>
    <row r="12" spans="2:13" ht="75" customHeight="1" x14ac:dyDescent="0.2">
      <c r="B12" s="65"/>
      <c r="C12" s="135"/>
      <c r="D12" s="149" t="s">
        <v>160</v>
      </c>
      <c r="E12" s="155" t="str">
        <f>calculations!S133</f>
        <v> Do not change your Time in Bed</v>
      </c>
      <c r="F12" s="65"/>
      <c r="G12" s="65"/>
      <c r="H12" s="65"/>
      <c r="I12" s="65"/>
      <c r="J12" s="65"/>
      <c r="K12" s="65"/>
      <c r="L12" s="65"/>
      <c r="M12" s="65"/>
    </row>
    <row r="13" spans="2:13" ht="35" customHeight="1" x14ac:dyDescent="0.2">
      <c r="B13" s="65"/>
      <c r="C13" s="89"/>
      <c r="D13" s="148" t="s">
        <v>95</v>
      </c>
      <c r="E13" s="133" t="str">
        <f>IFERROR(calculations!T140, "*Error in calculation")</f>
        <v>*Error in calculation</v>
      </c>
      <c r="F13" s="141" t="str">
        <f>IF(E13&lt;=0.229166666666667,"&lt;&lt; Do not decrease your time in bed to under 5 ½ hours (330 Minutes). ","")</f>
        <v/>
      </c>
      <c r="G13" s="65"/>
      <c r="H13" s="65"/>
      <c r="I13" s="65"/>
      <c r="J13" s="65"/>
      <c r="K13" s="65"/>
      <c r="L13" s="65"/>
      <c r="M13" s="65"/>
    </row>
    <row r="14" spans="2:13" ht="35" customHeight="1" x14ac:dyDescent="0.2">
      <c r="B14" s="65"/>
      <c r="C14" s="152"/>
      <c r="D14" s="153" t="s">
        <v>92</v>
      </c>
      <c r="E14" s="155" t="str">
        <f>IFERROR(calculations!S143, "*Error in calculation")</f>
        <v>*Error in calculation</v>
      </c>
      <c r="F14" s="65"/>
      <c r="G14" s="65"/>
      <c r="H14" s="65"/>
      <c r="I14" s="65"/>
      <c r="J14" s="65"/>
      <c r="K14" s="65"/>
      <c r="L14" s="65"/>
      <c r="M14" s="65"/>
    </row>
    <row r="15" spans="2:13" ht="25" customHeight="1" thickBot="1" x14ac:dyDescent="0.25">
      <c r="B15" s="65"/>
      <c r="C15" s="235" t="s">
        <v>143</v>
      </c>
      <c r="D15" s="236"/>
      <c r="E15" s="237"/>
      <c r="F15" s="65"/>
      <c r="G15" s="65"/>
      <c r="H15" s="65"/>
      <c r="I15" s="65"/>
      <c r="J15" s="65"/>
      <c r="K15" s="65"/>
      <c r="L15" s="65"/>
      <c r="M15" s="65"/>
    </row>
    <row r="16" spans="2:13" ht="25" customHeight="1" thickTop="1" x14ac:dyDescent="0.2">
      <c r="B16" s="65"/>
      <c r="C16" s="65"/>
      <c r="D16" s="65"/>
      <c r="E16" s="65"/>
      <c r="F16" s="65"/>
      <c r="G16" s="65"/>
      <c r="H16" s="65"/>
      <c r="I16" s="65"/>
      <c r="J16" s="65"/>
      <c r="K16" s="65"/>
      <c r="L16" s="65"/>
      <c r="M16" s="65"/>
    </row>
    <row r="17" spans="2:14" ht="25" customHeight="1" thickBot="1" x14ac:dyDescent="0.25">
      <c r="B17" s="65"/>
      <c r="C17" s="65"/>
      <c r="D17" s="65"/>
      <c r="E17" s="65"/>
      <c r="F17" s="65"/>
      <c r="G17" s="65"/>
      <c r="H17" s="65"/>
      <c r="I17" s="65"/>
      <c r="J17" s="65"/>
      <c r="K17" s="65"/>
      <c r="L17" s="65"/>
      <c r="M17" s="65"/>
    </row>
    <row r="18" spans="2:14" ht="40" customHeight="1" thickTop="1" thickBot="1" x14ac:dyDescent="0.25">
      <c r="B18" s="65"/>
      <c r="C18" s="214" t="s">
        <v>54</v>
      </c>
      <c r="D18" s="215" t="s">
        <v>54</v>
      </c>
      <c r="E18" s="77" t="s">
        <v>58</v>
      </c>
      <c r="F18" s="78" t="s">
        <v>17</v>
      </c>
      <c r="G18" s="78" t="s">
        <v>18</v>
      </c>
      <c r="H18" s="78" t="s">
        <v>19</v>
      </c>
      <c r="I18" s="78" t="s">
        <v>20</v>
      </c>
      <c r="J18" s="78" t="s">
        <v>21</v>
      </c>
      <c r="K18" s="76" t="s">
        <v>22</v>
      </c>
      <c r="L18" s="79" t="s">
        <v>23</v>
      </c>
      <c r="M18" s="65"/>
      <c r="N18" s="46"/>
    </row>
    <row r="19" spans="2:14" ht="25" customHeight="1" thickTop="1" x14ac:dyDescent="0.2">
      <c r="B19" s="65"/>
      <c r="C19" s="88" t="s">
        <v>7</v>
      </c>
      <c r="D19" s="116" t="s">
        <v>0</v>
      </c>
      <c r="E19" s="110">
        <v>40544</v>
      </c>
      <c r="F19" s="96"/>
      <c r="G19" s="96"/>
      <c r="H19" s="96"/>
      <c r="I19" s="96"/>
      <c r="J19" s="96"/>
      <c r="K19" s="96"/>
      <c r="L19" s="97"/>
      <c r="M19" s="65"/>
      <c r="N19" s="6"/>
    </row>
    <row r="20" spans="2:14" ht="25" customHeight="1" x14ac:dyDescent="0.2">
      <c r="B20" s="65"/>
      <c r="C20" s="89" t="s">
        <v>8</v>
      </c>
      <c r="D20" s="117" t="s">
        <v>25</v>
      </c>
      <c r="E20" s="111">
        <v>30</v>
      </c>
      <c r="F20" s="98"/>
      <c r="G20" s="98"/>
      <c r="H20" s="98"/>
      <c r="I20" s="98"/>
      <c r="J20" s="98"/>
      <c r="K20" s="98"/>
      <c r="L20" s="99"/>
      <c r="M20" s="65"/>
      <c r="N20" s="7"/>
    </row>
    <row r="21" spans="2:14" ht="25" customHeight="1" x14ac:dyDescent="0.2">
      <c r="B21" s="65"/>
      <c r="C21" s="90" t="s">
        <v>9</v>
      </c>
      <c r="D21" s="118" t="s">
        <v>1</v>
      </c>
      <c r="E21" s="112">
        <v>0.97916666666666663</v>
      </c>
      <c r="F21" s="100"/>
      <c r="G21" s="100"/>
      <c r="H21" s="100"/>
      <c r="I21" s="100"/>
      <c r="J21" s="100"/>
      <c r="K21" s="100"/>
      <c r="L21" s="101"/>
      <c r="M21" s="65"/>
      <c r="N21" s="7"/>
    </row>
    <row r="22" spans="2:14" ht="25" customHeight="1" x14ac:dyDescent="0.2">
      <c r="B22" s="65"/>
      <c r="C22" s="89" t="s">
        <v>10</v>
      </c>
      <c r="D22" s="117" t="s">
        <v>2</v>
      </c>
      <c r="E22" s="113">
        <v>0.98958333333333337</v>
      </c>
      <c r="F22" s="102"/>
      <c r="G22" s="102"/>
      <c r="H22" s="102"/>
      <c r="I22" s="102"/>
      <c r="J22" s="102"/>
      <c r="K22" s="102"/>
      <c r="L22" s="103"/>
      <c r="M22" s="65"/>
      <c r="N22" s="7"/>
    </row>
    <row r="23" spans="2:14" ht="25" customHeight="1" x14ac:dyDescent="0.2">
      <c r="B23" s="65"/>
      <c r="C23" s="91" t="s">
        <v>11</v>
      </c>
      <c r="D23" s="119" t="s">
        <v>16</v>
      </c>
      <c r="E23" s="114">
        <v>30</v>
      </c>
      <c r="F23" s="104"/>
      <c r="G23" s="104"/>
      <c r="H23" s="104"/>
      <c r="I23" s="104"/>
      <c r="J23" s="104"/>
      <c r="K23" s="104"/>
      <c r="L23" s="105"/>
      <c r="M23" s="65"/>
      <c r="N23" s="8"/>
    </row>
    <row r="24" spans="2:14" ht="25" customHeight="1" x14ac:dyDescent="0.2">
      <c r="B24" s="65"/>
      <c r="C24" s="92" t="s">
        <v>12</v>
      </c>
      <c r="D24" s="120" t="s">
        <v>3</v>
      </c>
      <c r="E24" s="111">
        <v>2</v>
      </c>
      <c r="F24" s="98"/>
      <c r="G24" s="98"/>
      <c r="H24" s="98"/>
      <c r="I24" s="98"/>
      <c r="J24" s="98"/>
      <c r="K24" s="98"/>
      <c r="L24" s="99"/>
      <c r="M24" s="65"/>
      <c r="N24" s="8"/>
    </row>
    <row r="25" spans="2:14" ht="25" customHeight="1" x14ac:dyDescent="0.2">
      <c r="B25" s="65"/>
      <c r="C25" s="90" t="s">
        <v>13</v>
      </c>
      <c r="D25" s="118" t="s">
        <v>4</v>
      </c>
      <c r="E25" s="114">
        <v>60</v>
      </c>
      <c r="F25" s="104"/>
      <c r="G25" s="106"/>
      <c r="H25" s="106"/>
      <c r="I25" s="106"/>
      <c r="J25" s="106"/>
      <c r="K25" s="106"/>
      <c r="L25" s="107"/>
      <c r="M25" s="65"/>
      <c r="N25" s="7"/>
    </row>
    <row r="26" spans="2:14" ht="25" customHeight="1" x14ac:dyDescent="0.2">
      <c r="B26" s="65"/>
      <c r="C26" s="92" t="s">
        <v>14</v>
      </c>
      <c r="D26" s="120" t="s">
        <v>5</v>
      </c>
      <c r="E26" s="113">
        <v>0.29166666666666669</v>
      </c>
      <c r="F26" s="102"/>
      <c r="G26" s="102"/>
      <c r="H26" s="102"/>
      <c r="I26" s="102"/>
      <c r="J26" s="102"/>
      <c r="K26" s="102"/>
      <c r="L26" s="103"/>
      <c r="M26" s="65"/>
      <c r="N26" s="8"/>
    </row>
    <row r="27" spans="2:14" ht="25" customHeight="1" x14ac:dyDescent="0.2">
      <c r="B27" s="65"/>
      <c r="C27" s="90" t="s">
        <v>15</v>
      </c>
      <c r="D27" s="118" t="s">
        <v>6</v>
      </c>
      <c r="E27" s="112">
        <v>0.33333333333333331</v>
      </c>
      <c r="F27" s="100"/>
      <c r="G27" s="100"/>
      <c r="H27" s="100"/>
      <c r="I27" s="100"/>
      <c r="J27" s="100"/>
      <c r="K27" s="100"/>
      <c r="L27" s="101"/>
      <c r="M27" s="65"/>
      <c r="N27" s="7"/>
    </row>
    <row r="28" spans="2:14" ht="25" customHeight="1" x14ac:dyDescent="0.2">
      <c r="B28" s="65"/>
      <c r="C28" s="93" t="s">
        <v>26</v>
      </c>
      <c r="D28" s="117" t="s">
        <v>137</v>
      </c>
      <c r="E28" s="111">
        <v>30</v>
      </c>
      <c r="F28" s="98"/>
      <c r="G28" s="98"/>
      <c r="H28" s="98"/>
      <c r="I28" s="98"/>
      <c r="J28" s="98"/>
      <c r="K28" s="98"/>
      <c r="L28" s="99"/>
      <c r="M28" s="65"/>
      <c r="N28" s="7"/>
    </row>
    <row r="29" spans="2:14" ht="25" customHeight="1" thickBot="1" x14ac:dyDescent="0.25">
      <c r="B29" s="65"/>
      <c r="C29" s="94" t="s">
        <v>104</v>
      </c>
      <c r="D29" s="121" t="s">
        <v>105</v>
      </c>
      <c r="E29" s="115" t="s">
        <v>109</v>
      </c>
      <c r="F29" s="108"/>
      <c r="G29" s="108"/>
      <c r="H29" s="108"/>
      <c r="I29" s="108"/>
      <c r="J29" s="108"/>
      <c r="K29" s="108"/>
      <c r="L29" s="109"/>
      <c r="M29" s="65"/>
      <c r="N29" s="7"/>
    </row>
    <row r="30" spans="2:14" ht="25" hidden="1" customHeight="1" x14ac:dyDescent="0.2">
      <c r="B30" s="65"/>
      <c r="C30" s="86"/>
      <c r="D30" s="30" t="s">
        <v>70</v>
      </c>
      <c r="E30" s="37">
        <v>0.85</v>
      </c>
      <c r="F30" s="37">
        <v>0.85</v>
      </c>
      <c r="G30" s="37">
        <v>0.85</v>
      </c>
      <c r="H30" s="37">
        <v>0.85</v>
      </c>
      <c r="I30" s="37">
        <v>0.85</v>
      </c>
      <c r="J30" s="37">
        <v>0.85</v>
      </c>
      <c r="K30" s="37">
        <v>0.85</v>
      </c>
      <c r="L30" s="95">
        <v>0.85</v>
      </c>
      <c r="M30" s="65"/>
      <c r="N30" s="7"/>
    </row>
    <row r="31" spans="2:14" ht="40" customHeight="1" thickTop="1" thickBot="1" x14ac:dyDescent="0.25">
      <c r="B31" s="65"/>
      <c r="C31" s="217" t="s">
        <v>144</v>
      </c>
      <c r="D31" s="218"/>
      <c r="E31" s="218"/>
      <c r="F31" s="218"/>
      <c r="G31" s="218"/>
      <c r="H31" s="218"/>
      <c r="I31" s="218"/>
      <c r="J31" s="218"/>
      <c r="K31" s="218"/>
      <c r="L31" s="219"/>
      <c r="M31" s="65"/>
      <c r="N31" s="5"/>
    </row>
    <row r="32" spans="2:14" ht="25" customHeight="1" thickTop="1" x14ac:dyDescent="0.2">
      <c r="B32" s="65"/>
      <c r="C32" s="122"/>
      <c r="D32" s="185" t="s">
        <v>27</v>
      </c>
      <c r="E32" s="186">
        <f>calculations!D130</f>
        <v>0.34374999999999989</v>
      </c>
      <c r="F32" s="186">
        <f>calculations!E130</f>
        <v>0</v>
      </c>
      <c r="G32" s="186">
        <f>calculations!F130</f>
        <v>0</v>
      </c>
      <c r="H32" s="186">
        <f>calculations!G130</f>
        <v>0</v>
      </c>
      <c r="I32" s="186">
        <f>calculations!H130</f>
        <v>0</v>
      </c>
      <c r="J32" s="186">
        <f>calculations!I130</f>
        <v>0</v>
      </c>
      <c r="K32" s="186">
        <f>calculations!J130</f>
        <v>0</v>
      </c>
      <c r="L32" s="187">
        <f>calculations!K130</f>
        <v>0</v>
      </c>
      <c r="M32" s="65"/>
      <c r="N32" s="4"/>
    </row>
    <row r="33" spans="2:14" ht="25" customHeight="1" x14ac:dyDescent="0.2">
      <c r="B33" s="65"/>
      <c r="C33" s="123"/>
      <c r="D33" s="188" t="s">
        <v>28</v>
      </c>
      <c r="E33" s="189">
        <f>calculations!D131</f>
        <v>0.23958333333333318</v>
      </c>
      <c r="F33" s="189">
        <f>calculations!E131</f>
        <v>0</v>
      </c>
      <c r="G33" s="189">
        <f>calculations!F131</f>
        <v>0</v>
      </c>
      <c r="H33" s="189">
        <f>calculations!G131</f>
        <v>0</v>
      </c>
      <c r="I33" s="189">
        <f>calculations!H131</f>
        <v>0</v>
      </c>
      <c r="J33" s="189">
        <f>calculations!I131</f>
        <v>0</v>
      </c>
      <c r="K33" s="189">
        <f>calculations!J131</f>
        <v>0</v>
      </c>
      <c r="L33" s="190">
        <f>calculations!K131</f>
        <v>0</v>
      </c>
      <c r="M33" s="65"/>
      <c r="N33" s="4"/>
    </row>
    <row r="34" spans="2:14" ht="25" customHeight="1" thickBot="1" x14ac:dyDescent="0.25">
      <c r="B34" s="65"/>
      <c r="C34" s="124"/>
      <c r="D34" s="191" t="s">
        <v>29</v>
      </c>
      <c r="E34" s="192">
        <f>calculations!D132</f>
        <v>0.69696969696969668</v>
      </c>
      <c r="F34" s="192" t="str">
        <f>calculations!E132</f>
        <v/>
      </c>
      <c r="G34" s="192" t="str">
        <f>calculations!F132</f>
        <v/>
      </c>
      <c r="H34" s="192" t="str">
        <f>calculations!G132</f>
        <v/>
      </c>
      <c r="I34" s="192" t="str">
        <f>calculations!H132</f>
        <v/>
      </c>
      <c r="J34" s="192" t="str">
        <f>calculations!I132</f>
        <v/>
      </c>
      <c r="K34" s="192" t="str">
        <f>calculations!J132</f>
        <v/>
      </c>
      <c r="L34" s="193" t="str">
        <f>calculations!K132</f>
        <v/>
      </c>
      <c r="M34" s="65"/>
      <c r="N34" s="4"/>
    </row>
    <row r="35" spans="2:14" ht="25" customHeight="1" thickTop="1" x14ac:dyDescent="0.2">
      <c r="B35" s="65"/>
      <c r="C35" s="65"/>
      <c r="D35" s="65"/>
      <c r="E35" s="65"/>
      <c r="F35" s="65"/>
      <c r="G35" s="65"/>
      <c r="H35" s="65"/>
      <c r="I35" s="65"/>
      <c r="J35" s="65"/>
      <c r="K35" s="65"/>
      <c r="L35" s="65"/>
      <c r="M35" s="65"/>
    </row>
    <row r="36" spans="2:14" ht="25" customHeight="1" thickBot="1" x14ac:dyDescent="0.25">
      <c r="B36" s="65"/>
      <c r="C36" s="65"/>
      <c r="D36" s="65"/>
      <c r="E36" s="65"/>
      <c r="F36" s="65"/>
      <c r="G36" s="65"/>
      <c r="H36" s="65"/>
      <c r="I36" s="65"/>
      <c r="J36" s="65"/>
      <c r="K36" s="65"/>
      <c r="L36" s="65"/>
      <c r="M36" s="65"/>
    </row>
    <row r="37" spans="2:14" ht="40" customHeight="1" thickTop="1" thickBot="1" x14ac:dyDescent="0.25">
      <c r="B37" s="65"/>
      <c r="C37" s="220" t="s">
        <v>152</v>
      </c>
      <c r="D37" s="221"/>
      <c r="E37" s="234"/>
      <c r="F37" s="65"/>
      <c r="G37" s="65"/>
      <c r="H37" s="65"/>
      <c r="I37" s="65"/>
      <c r="J37" s="65"/>
      <c r="K37" s="65"/>
      <c r="L37" s="65"/>
      <c r="M37" s="65"/>
    </row>
    <row r="38" spans="2:14" ht="25" customHeight="1" thickTop="1" x14ac:dyDescent="0.2">
      <c r="B38" s="65"/>
      <c r="C38" s="82"/>
      <c r="D38" s="172" t="s">
        <v>164</v>
      </c>
      <c r="E38" s="173" t="str">
        <f>calculations!D136</f>
        <v/>
      </c>
      <c r="F38" s="65"/>
      <c r="G38" s="65"/>
      <c r="H38" s="65"/>
      <c r="I38" s="65"/>
      <c r="J38" s="65"/>
      <c r="K38" s="65"/>
      <c r="L38" s="65"/>
      <c r="M38" s="65"/>
    </row>
    <row r="39" spans="2:14" ht="25" customHeight="1" x14ac:dyDescent="0.2">
      <c r="B39" s="65"/>
      <c r="C39" s="81"/>
      <c r="D39" s="174" t="s">
        <v>165</v>
      </c>
      <c r="E39" s="175" t="str">
        <f>calculations!D137</f>
        <v/>
      </c>
      <c r="F39" s="65"/>
      <c r="G39" s="65"/>
      <c r="H39" s="65"/>
      <c r="I39" s="65"/>
      <c r="J39" s="65"/>
      <c r="K39" s="65"/>
      <c r="L39" s="65"/>
      <c r="M39" s="65"/>
    </row>
    <row r="40" spans="2:14" ht="25" customHeight="1" x14ac:dyDescent="0.2">
      <c r="B40" s="65"/>
      <c r="C40" s="86"/>
      <c r="D40" s="176" t="s">
        <v>166</v>
      </c>
      <c r="E40" s="177" t="str">
        <f>calculations!D138</f>
        <v/>
      </c>
      <c r="F40" s="65"/>
      <c r="G40" s="65"/>
      <c r="H40" s="65"/>
      <c r="I40" s="65"/>
      <c r="J40" s="65"/>
      <c r="K40" s="65"/>
      <c r="L40" s="65"/>
      <c r="M40" s="65"/>
    </row>
    <row r="41" spans="2:14" ht="25" customHeight="1" x14ac:dyDescent="0.2">
      <c r="B41" s="65"/>
      <c r="C41" s="83"/>
      <c r="D41" s="178" t="s">
        <v>167</v>
      </c>
      <c r="E41" s="175" t="str">
        <f>calculations!D139</f>
        <v/>
      </c>
      <c r="F41" s="65"/>
      <c r="G41" s="65"/>
      <c r="H41" s="65"/>
      <c r="I41" s="65"/>
      <c r="J41" s="65"/>
      <c r="K41" s="65"/>
      <c r="L41" s="65"/>
      <c r="M41" s="65"/>
    </row>
    <row r="42" spans="2:14" ht="25" customHeight="1" x14ac:dyDescent="0.2">
      <c r="B42" s="65"/>
      <c r="C42" s="85"/>
      <c r="D42" s="179" t="s">
        <v>168</v>
      </c>
      <c r="E42" s="177" t="str">
        <f>calculations!D140</f>
        <v/>
      </c>
      <c r="F42" s="65"/>
      <c r="G42" s="65"/>
      <c r="H42" s="65"/>
      <c r="I42" s="65"/>
      <c r="J42" s="65"/>
      <c r="K42" s="65"/>
      <c r="L42" s="65"/>
      <c r="M42" s="65"/>
    </row>
    <row r="43" spans="2:14" ht="25" customHeight="1" x14ac:dyDescent="0.2">
      <c r="B43" s="65"/>
      <c r="C43" s="84"/>
      <c r="D43" s="174" t="s">
        <v>169</v>
      </c>
      <c r="E43" s="175" t="str">
        <f>calculations!D141</f>
        <v/>
      </c>
      <c r="F43" s="65"/>
      <c r="G43" s="65"/>
      <c r="H43" s="65"/>
      <c r="I43" s="65"/>
      <c r="J43" s="65"/>
      <c r="K43" s="65"/>
      <c r="L43" s="65"/>
      <c r="M43" s="65"/>
    </row>
    <row r="44" spans="2:14" ht="25" customHeight="1" x14ac:dyDescent="0.2">
      <c r="B44" s="65"/>
      <c r="C44" s="85"/>
      <c r="D44" s="179" t="s">
        <v>72</v>
      </c>
      <c r="E44" s="181" t="str">
        <f>calculations!D142</f>
        <v/>
      </c>
      <c r="F44" s="65"/>
      <c r="G44" s="65"/>
      <c r="H44" s="65"/>
      <c r="I44" s="65"/>
      <c r="J44" s="65"/>
      <c r="K44" s="65"/>
      <c r="L44" s="65"/>
      <c r="M44" s="65"/>
    </row>
    <row r="45" spans="2:14" ht="25" customHeight="1" thickBot="1" x14ac:dyDescent="0.25">
      <c r="B45" s="65"/>
      <c r="C45" s="87"/>
      <c r="D45" s="183" t="s">
        <v>73</v>
      </c>
      <c r="E45" s="184" t="str">
        <f>calculations!D143</f>
        <v/>
      </c>
      <c r="F45" s="65"/>
      <c r="G45" s="65"/>
      <c r="H45" s="65"/>
      <c r="I45" s="65"/>
      <c r="J45" s="65"/>
      <c r="K45" s="65"/>
      <c r="L45" s="65"/>
      <c r="M45" s="65"/>
    </row>
    <row r="46" spans="2:14" ht="25" customHeight="1" thickTop="1" x14ac:dyDescent="0.2">
      <c r="B46" s="65"/>
      <c r="C46" s="65"/>
      <c r="D46" s="65"/>
      <c r="E46" s="65"/>
      <c r="F46" s="65"/>
      <c r="G46" s="65"/>
      <c r="H46" s="65"/>
      <c r="I46" s="65"/>
      <c r="J46" s="65"/>
      <c r="K46" s="65"/>
      <c r="L46" s="65"/>
      <c r="M46" s="65"/>
    </row>
    <row r="47" spans="2:14" ht="25" customHeight="1" x14ac:dyDescent="0.2">
      <c r="B47" s="65"/>
      <c r="C47" s="65"/>
      <c r="D47" s="65"/>
      <c r="E47" s="65"/>
      <c r="F47" s="65"/>
      <c r="G47" s="65"/>
      <c r="H47" s="65"/>
      <c r="I47" s="65"/>
      <c r="J47" s="65"/>
      <c r="K47" s="65"/>
      <c r="L47" s="65"/>
      <c r="M47" s="65"/>
    </row>
    <row r="48" spans="2:14" ht="25" customHeight="1" x14ac:dyDescent="0.2">
      <c r="B48" s="65"/>
      <c r="C48" s="65"/>
      <c r="D48" s="65"/>
      <c r="E48" s="65"/>
      <c r="F48" s="65"/>
      <c r="G48" s="65"/>
      <c r="H48" s="65"/>
      <c r="I48" s="65"/>
      <c r="J48" s="65"/>
      <c r="K48" s="65"/>
      <c r="L48" s="65"/>
      <c r="M48" s="65"/>
    </row>
  </sheetData>
  <mergeCells count="6">
    <mergeCell ref="C37:E37"/>
    <mergeCell ref="C18:D18"/>
    <mergeCell ref="B1:M1"/>
    <mergeCell ref="C3:E3"/>
    <mergeCell ref="C15:E15"/>
    <mergeCell ref="C31:L31"/>
  </mergeCells>
  <pageMargins left="0.7" right="0.7" top="0.75" bottom="0.75" header="0.3" footer="0.3"/>
  <pageSetup scale="35" orientation="portrait" r:id="rId1"/>
  <ignoredErrors>
    <ignoredError sqref="E38:E45 E32:L34" unlockedFormula="1"/>
    <ignoredError sqref="C19:C29 C4 C10" numberStoredAsText="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calculations!$U$5:$U$9</xm:f>
          </x14:formula1>
          <xm:sqref>E29:L29</xm:sqref>
        </x14:dataValidation>
        <x14:dataValidation type="list" allowBlank="1" showInputMessage="1" showErrorMessage="1" xr:uid="{00000000-0002-0000-0400-000001000000}">
          <x14:formula1>
            <xm:f>calculations!$S$5:$S$9</xm:f>
          </x14:formula1>
          <xm:sqref>E5:E8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N49"/>
  <sheetViews>
    <sheetView topLeftCell="A22" zoomScaleNormal="100" workbookViewId="0">
      <selection activeCell="D46" sqref="D46"/>
    </sheetView>
  </sheetViews>
  <sheetFormatPr baseColWidth="10" defaultColWidth="10.83203125" defaultRowHeight="25" customHeight="1" x14ac:dyDescent="0.2"/>
  <cols>
    <col min="1" max="1" width="10.83203125" style="3"/>
    <col min="2" max="2" width="10.1640625" style="3" customWidth="1"/>
    <col min="3" max="3" width="4.6640625" style="3" customWidth="1"/>
    <col min="4" max="4" width="87.83203125" style="3" customWidth="1"/>
    <col min="5" max="5" width="12.83203125" style="3" customWidth="1"/>
    <col min="6" max="12" width="12.6640625" style="3" customWidth="1"/>
    <col min="13" max="13" width="10.1640625" style="3" customWidth="1"/>
    <col min="14" max="16384" width="10.83203125" style="3"/>
  </cols>
  <sheetData>
    <row r="1" spans="2:13" ht="115" customHeight="1" thickBot="1" x14ac:dyDescent="0.25">
      <c r="B1" s="209" t="s">
        <v>129</v>
      </c>
      <c r="C1" s="209"/>
      <c r="D1" s="209"/>
      <c r="E1" s="209"/>
      <c r="F1" s="209"/>
      <c r="G1" s="209"/>
      <c r="H1" s="209"/>
      <c r="I1" s="209"/>
      <c r="J1" s="209"/>
      <c r="K1" s="209"/>
      <c r="L1" s="209"/>
      <c r="M1" s="209"/>
    </row>
    <row r="2" spans="2:13" ht="20" customHeight="1" thickTop="1" thickBot="1" x14ac:dyDescent="0.25">
      <c r="B2" s="64"/>
      <c r="C2" s="64"/>
      <c r="D2" s="64"/>
      <c r="E2" s="64"/>
      <c r="F2" s="64"/>
      <c r="G2" s="64"/>
      <c r="H2" s="64"/>
      <c r="I2" s="64"/>
      <c r="J2" s="64"/>
      <c r="K2" s="64"/>
      <c r="L2" s="64"/>
      <c r="M2" s="64"/>
    </row>
    <row r="3" spans="2:13" ht="40" customHeight="1" thickTop="1" thickBot="1" x14ac:dyDescent="0.25">
      <c r="B3" s="64"/>
      <c r="C3" s="222" t="s">
        <v>85</v>
      </c>
      <c r="D3" s="232" t="s">
        <v>85</v>
      </c>
      <c r="E3" s="233"/>
      <c r="F3" s="64"/>
      <c r="G3" s="64"/>
      <c r="H3" s="64"/>
      <c r="I3" s="64"/>
      <c r="J3" s="64"/>
      <c r="K3" s="64"/>
      <c r="L3" s="64"/>
      <c r="M3" s="64"/>
    </row>
    <row r="4" spans="2:13" ht="25" customHeight="1" thickTop="1" x14ac:dyDescent="0.2">
      <c r="B4" s="64"/>
      <c r="C4" s="94" t="s">
        <v>7</v>
      </c>
      <c r="D4" s="145" t="s">
        <v>163</v>
      </c>
      <c r="E4" s="126"/>
      <c r="F4" s="64"/>
      <c r="G4" s="64"/>
      <c r="H4" s="64"/>
      <c r="I4" s="64"/>
      <c r="J4" s="64"/>
      <c r="K4" s="64"/>
      <c r="L4" s="64"/>
      <c r="M4" s="64"/>
    </row>
    <row r="5" spans="2:13" ht="25" customHeight="1" x14ac:dyDescent="0.2">
      <c r="B5" s="64"/>
      <c r="C5" s="134"/>
      <c r="D5" s="146" t="s">
        <v>76</v>
      </c>
      <c r="E5" s="161" t="s">
        <v>80</v>
      </c>
      <c r="F5" s="64"/>
      <c r="G5" s="64"/>
      <c r="H5" s="64"/>
      <c r="I5" s="64"/>
      <c r="J5" s="64"/>
      <c r="K5" s="64"/>
      <c r="L5" s="64"/>
      <c r="M5" s="64"/>
    </row>
    <row r="6" spans="2:13" ht="25" customHeight="1" x14ac:dyDescent="0.2">
      <c r="B6" s="64"/>
      <c r="C6" s="135"/>
      <c r="D6" s="147" t="s">
        <v>77</v>
      </c>
      <c r="E6" s="162" t="s">
        <v>80</v>
      </c>
      <c r="F6" s="64"/>
      <c r="G6" s="64"/>
      <c r="H6" s="64"/>
      <c r="I6" s="64"/>
      <c r="J6" s="64"/>
      <c r="K6" s="64"/>
      <c r="L6" s="64"/>
      <c r="M6" s="64"/>
    </row>
    <row r="7" spans="2:13" ht="25" customHeight="1" x14ac:dyDescent="0.2">
      <c r="B7" s="64"/>
      <c r="C7" s="89"/>
      <c r="D7" s="148" t="s">
        <v>78</v>
      </c>
      <c r="E7" s="161" t="s">
        <v>80</v>
      </c>
      <c r="F7" s="64"/>
      <c r="G7" s="64"/>
      <c r="H7" s="64"/>
      <c r="I7" s="64"/>
      <c r="J7" s="64"/>
      <c r="K7" s="64"/>
      <c r="L7" s="64"/>
      <c r="M7" s="64"/>
    </row>
    <row r="8" spans="2:13" ht="25" customHeight="1" x14ac:dyDescent="0.2">
      <c r="B8" s="64"/>
      <c r="C8" s="152"/>
      <c r="D8" s="153" t="s">
        <v>79</v>
      </c>
      <c r="E8" s="163" t="s">
        <v>80</v>
      </c>
      <c r="F8" s="64"/>
      <c r="G8" s="64"/>
      <c r="H8" s="64"/>
      <c r="I8" s="64"/>
      <c r="J8" s="64"/>
      <c r="K8" s="64"/>
      <c r="L8" s="64"/>
      <c r="M8" s="64"/>
    </row>
    <row r="9" spans="2:13" ht="25" customHeight="1" thickBot="1" x14ac:dyDescent="0.25">
      <c r="B9" s="64"/>
      <c r="C9" s="136"/>
      <c r="D9" s="137"/>
      <c r="E9" s="131"/>
      <c r="F9" s="64"/>
      <c r="G9" s="64"/>
      <c r="H9" s="64"/>
      <c r="I9" s="64"/>
      <c r="J9" s="64"/>
      <c r="K9" s="64"/>
      <c r="L9" s="64"/>
      <c r="M9" s="64"/>
    </row>
    <row r="10" spans="2:13" ht="25" customHeight="1" x14ac:dyDescent="0.2">
      <c r="B10" s="64"/>
      <c r="C10" s="154" t="s">
        <v>8</v>
      </c>
      <c r="D10" s="151" t="s">
        <v>156</v>
      </c>
      <c r="E10" s="125"/>
      <c r="F10" s="64"/>
      <c r="G10" s="64"/>
      <c r="H10" s="64"/>
      <c r="I10" s="64"/>
      <c r="J10" s="64"/>
      <c r="K10" s="64"/>
      <c r="L10" s="64"/>
      <c r="M10" s="64"/>
    </row>
    <row r="11" spans="2:13" ht="25" customHeight="1" x14ac:dyDescent="0.2">
      <c r="B11" s="64"/>
      <c r="C11" s="89"/>
      <c r="D11" s="148" t="s">
        <v>159</v>
      </c>
      <c r="E11" s="132" t="str">
        <f>IFERROR('Week 4'!E45, "*Error in calculation")</f>
        <v/>
      </c>
      <c r="F11" s="64"/>
      <c r="G11" s="64"/>
      <c r="H11" s="64"/>
      <c r="I11" s="64"/>
      <c r="J11" s="64"/>
      <c r="K11" s="64"/>
      <c r="L11" s="64"/>
      <c r="M11" s="64"/>
    </row>
    <row r="12" spans="2:13" ht="75" customHeight="1" x14ac:dyDescent="0.2">
      <c r="B12" s="64"/>
      <c r="C12" s="135"/>
      <c r="D12" s="149" t="s">
        <v>160</v>
      </c>
      <c r="E12" s="155" t="str">
        <f>calculations!S169</f>
        <v> Do not change your Time in Bed</v>
      </c>
      <c r="F12" s="64"/>
      <c r="G12" s="64"/>
      <c r="H12" s="64"/>
      <c r="I12" s="64"/>
      <c r="J12" s="64"/>
      <c r="K12" s="64"/>
      <c r="L12" s="64"/>
      <c r="M12" s="64"/>
    </row>
    <row r="13" spans="2:13" ht="35" customHeight="1" x14ac:dyDescent="0.2">
      <c r="B13" s="64"/>
      <c r="C13" s="89"/>
      <c r="D13" s="148" t="s">
        <v>95</v>
      </c>
      <c r="E13" s="133" t="str">
        <f>IFERROR(calculations!T176, "*Error in calculation")</f>
        <v>*Error in calculation</v>
      </c>
      <c r="F13" s="140" t="str">
        <f>IF(E13&lt;=0.229166666666667,"&lt;&lt; Do not decrease your time in bed to under 5 ½ hours (330 Minutes). ","")</f>
        <v/>
      </c>
      <c r="G13" s="64"/>
      <c r="H13" s="64"/>
      <c r="I13" s="64"/>
      <c r="J13" s="64"/>
      <c r="K13" s="64"/>
      <c r="L13" s="64"/>
      <c r="M13" s="64"/>
    </row>
    <row r="14" spans="2:13" ht="35" customHeight="1" x14ac:dyDescent="0.2">
      <c r="B14" s="64"/>
      <c r="C14" s="152"/>
      <c r="D14" s="153" t="s">
        <v>92</v>
      </c>
      <c r="E14" s="155" t="str">
        <f>IFERROR(calculations!S179, "*Error in calculation")</f>
        <v>*Error in calculation</v>
      </c>
      <c r="F14" s="64"/>
      <c r="G14" s="64"/>
      <c r="H14" s="64"/>
      <c r="I14" s="64"/>
      <c r="J14" s="64"/>
      <c r="K14" s="64"/>
      <c r="L14" s="64"/>
      <c r="M14" s="64"/>
    </row>
    <row r="15" spans="2:13" ht="25" customHeight="1" thickBot="1" x14ac:dyDescent="0.25">
      <c r="B15" s="64"/>
      <c r="C15" s="235" t="s">
        <v>143</v>
      </c>
      <c r="D15" s="236"/>
      <c r="E15" s="237"/>
      <c r="F15" s="64"/>
      <c r="G15" s="64"/>
      <c r="H15" s="64"/>
      <c r="I15" s="64"/>
      <c r="J15" s="64"/>
      <c r="K15" s="64"/>
      <c r="L15" s="64"/>
      <c r="M15" s="64"/>
    </row>
    <row r="16" spans="2:13" ht="25" customHeight="1" thickTop="1" x14ac:dyDescent="0.2">
      <c r="B16" s="64"/>
      <c r="C16" s="64"/>
      <c r="D16" s="64"/>
      <c r="E16" s="64"/>
      <c r="F16" s="64"/>
      <c r="G16" s="64"/>
      <c r="H16" s="64"/>
      <c r="I16" s="64"/>
      <c r="J16" s="64"/>
      <c r="K16" s="64"/>
      <c r="L16" s="64"/>
      <c r="M16" s="64"/>
    </row>
    <row r="17" spans="2:14" ht="25" customHeight="1" thickBot="1" x14ac:dyDescent="0.25">
      <c r="B17" s="64"/>
      <c r="C17" s="64"/>
      <c r="D17" s="64"/>
      <c r="E17" s="64"/>
      <c r="F17" s="64"/>
      <c r="G17" s="64"/>
      <c r="H17" s="64"/>
      <c r="I17" s="64"/>
      <c r="J17" s="64"/>
      <c r="K17" s="64"/>
      <c r="L17" s="64"/>
      <c r="M17" s="64"/>
    </row>
    <row r="18" spans="2:14" ht="40" customHeight="1" thickTop="1" thickBot="1" x14ac:dyDescent="0.25">
      <c r="B18" s="64"/>
      <c r="C18" s="214" t="s">
        <v>55</v>
      </c>
      <c r="D18" s="215" t="s">
        <v>55</v>
      </c>
      <c r="E18" s="77" t="s">
        <v>58</v>
      </c>
      <c r="F18" s="78" t="s">
        <v>17</v>
      </c>
      <c r="G18" s="78" t="s">
        <v>18</v>
      </c>
      <c r="H18" s="78" t="s">
        <v>19</v>
      </c>
      <c r="I18" s="78" t="s">
        <v>20</v>
      </c>
      <c r="J18" s="78" t="s">
        <v>21</v>
      </c>
      <c r="K18" s="76" t="s">
        <v>22</v>
      </c>
      <c r="L18" s="79" t="s">
        <v>23</v>
      </c>
      <c r="M18" s="64"/>
      <c r="N18" s="46"/>
    </row>
    <row r="19" spans="2:14" ht="25" customHeight="1" thickTop="1" x14ac:dyDescent="0.2">
      <c r="B19" s="64"/>
      <c r="C19" s="88" t="s">
        <v>7</v>
      </c>
      <c r="D19" s="116" t="s">
        <v>0</v>
      </c>
      <c r="E19" s="110">
        <v>40544</v>
      </c>
      <c r="F19" s="96"/>
      <c r="G19" s="96"/>
      <c r="H19" s="96"/>
      <c r="I19" s="96"/>
      <c r="J19" s="96"/>
      <c r="K19" s="96"/>
      <c r="L19" s="97"/>
      <c r="M19" s="64"/>
      <c r="N19" s="6"/>
    </row>
    <row r="20" spans="2:14" ht="25" customHeight="1" x14ac:dyDescent="0.2">
      <c r="B20" s="64"/>
      <c r="C20" s="89" t="s">
        <v>8</v>
      </c>
      <c r="D20" s="117" t="s">
        <v>25</v>
      </c>
      <c r="E20" s="111">
        <v>30</v>
      </c>
      <c r="F20" s="98"/>
      <c r="G20" s="98"/>
      <c r="H20" s="98"/>
      <c r="I20" s="98"/>
      <c r="J20" s="98"/>
      <c r="K20" s="98"/>
      <c r="L20" s="99"/>
      <c r="M20" s="64"/>
      <c r="N20" s="7"/>
    </row>
    <row r="21" spans="2:14" ht="25" customHeight="1" x14ac:dyDescent="0.2">
      <c r="B21" s="64"/>
      <c r="C21" s="90" t="s">
        <v>9</v>
      </c>
      <c r="D21" s="118" t="s">
        <v>1</v>
      </c>
      <c r="E21" s="112">
        <v>0.97916666666666663</v>
      </c>
      <c r="F21" s="100"/>
      <c r="G21" s="100"/>
      <c r="H21" s="100"/>
      <c r="I21" s="100"/>
      <c r="J21" s="100"/>
      <c r="K21" s="100"/>
      <c r="L21" s="101"/>
      <c r="M21" s="64"/>
      <c r="N21" s="7"/>
    </row>
    <row r="22" spans="2:14" ht="25" customHeight="1" x14ac:dyDescent="0.2">
      <c r="B22" s="64"/>
      <c r="C22" s="89" t="s">
        <v>10</v>
      </c>
      <c r="D22" s="117" t="s">
        <v>2</v>
      </c>
      <c r="E22" s="113">
        <v>0.98958333333333337</v>
      </c>
      <c r="F22" s="102"/>
      <c r="G22" s="102"/>
      <c r="H22" s="102"/>
      <c r="I22" s="102"/>
      <c r="J22" s="102"/>
      <c r="K22" s="102"/>
      <c r="L22" s="103"/>
      <c r="M22" s="64"/>
      <c r="N22" s="7"/>
    </row>
    <row r="23" spans="2:14" ht="25" customHeight="1" x14ac:dyDescent="0.2">
      <c r="B23" s="64"/>
      <c r="C23" s="91" t="s">
        <v>11</v>
      </c>
      <c r="D23" s="119" t="s">
        <v>16</v>
      </c>
      <c r="E23" s="114">
        <v>30</v>
      </c>
      <c r="F23" s="104"/>
      <c r="G23" s="104"/>
      <c r="H23" s="104"/>
      <c r="I23" s="104"/>
      <c r="J23" s="104"/>
      <c r="K23" s="104"/>
      <c r="L23" s="105"/>
      <c r="M23" s="64"/>
      <c r="N23" s="8"/>
    </row>
    <row r="24" spans="2:14" ht="25" customHeight="1" x14ac:dyDescent="0.2">
      <c r="B24" s="64"/>
      <c r="C24" s="92" t="s">
        <v>12</v>
      </c>
      <c r="D24" s="120" t="s">
        <v>3</v>
      </c>
      <c r="E24" s="111">
        <v>2</v>
      </c>
      <c r="F24" s="98"/>
      <c r="G24" s="98"/>
      <c r="H24" s="98"/>
      <c r="I24" s="98"/>
      <c r="J24" s="98"/>
      <c r="K24" s="98"/>
      <c r="L24" s="99"/>
      <c r="M24" s="64"/>
      <c r="N24" s="8"/>
    </row>
    <row r="25" spans="2:14" ht="25" customHeight="1" x14ac:dyDescent="0.2">
      <c r="B25" s="64"/>
      <c r="C25" s="90" t="s">
        <v>13</v>
      </c>
      <c r="D25" s="118" t="s">
        <v>4</v>
      </c>
      <c r="E25" s="114">
        <v>60</v>
      </c>
      <c r="F25" s="104"/>
      <c r="G25" s="106"/>
      <c r="H25" s="106"/>
      <c r="I25" s="106"/>
      <c r="J25" s="106"/>
      <c r="K25" s="106"/>
      <c r="L25" s="107"/>
      <c r="M25" s="64"/>
      <c r="N25" s="7"/>
    </row>
    <row r="26" spans="2:14" ht="25" customHeight="1" x14ac:dyDescent="0.2">
      <c r="B26" s="64"/>
      <c r="C26" s="92" t="s">
        <v>14</v>
      </c>
      <c r="D26" s="120" t="s">
        <v>5</v>
      </c>
      <c r="E26" s="113">
        <v>0.29166666666666669</v>
      </c>
      <c r="F26" s="102"/>
      <c r="G26" s="102"/>
      <c r="H26" s="102"/>
      <c r="I26" s="102"/>
      <c r="J26" s="102"/>
      <c r="K26" s="102"/>
      <c r="L26" s="103"/>
      <c r="M26" s="64"/>
      <c r="N26" s="8"/>
    </row>
    <row r="27" spans="2:14" ht="25" customHeight="1" x14ac:dyDescent="0.2">
      <c r="B27" s="64"/>
      <c r="C27" s="90" t="s">
        <v>15</v>
      </c>
      <c r="D27" s="118" t="s">
        <v>6</v>
      </c>
      <c r="E27" s="112">
        <v>0.33333333333333331</v>
      </c>
      <c r="F27" s="100"/>
      <c r="G27" s="100"/>
      <c r="H27" s="100"/>
      <c r="I27" s="100"/>
      <c r="J27" s="100"/>
      <c r="K27" s="100"/>
      <c r="L27" s="101"/>
      <c r="M27" s="64"/>
      <c r="N27" s="7"/>
    </row>
    <row r="28" spans="2:14" ht="25" customHeight="1" x14ac:dyDescent="0.2">
      <c r="B28" s="64"/>
      <c r="C28" s="93" t="s">
        <v>26</v>
      </c>
      <c r="D28" s="117" t="s">
        <v>137</v>
      </c>
      <c r="E28" s="111">
        <v>30</v>
      </c>
      <c r="F28" s="98"/>
      <c r="G28" s="98"/>
      <c r="H28" s="98"/>
      <c r="I28" s="98"/>
      <c r="J28" s="98"/>
      <c r="K28" s="98"/>
      <c r="L28" s="99"/>
      <c r="M28" s="64"/>
      <c r="N28" s="7"/>
    </row>
    <row r="29" spans="2:14" ht="25" customHeight="1" thickBot="1" x14ac:dyDescent="0.25">
      <c r="B29" s="64"/>
      <c r="C29" s="94" t="s">
        <v>104</v>
      </c>
      <c r="D29" s="121" t="s">
        <v>105</v>
      </c>
      <c r="E29" s="115" t="s">
        <v>109</v>
      </c>
      <c r="F29" s="108"/>
      <c r="G29" s="108"/>
      <c r="H29" s="108"/>
      <c r="I29" s="108"/>
      <c r="J29" s="108"/>
      <c r="K29" s="108"/>
      <c r="L29" s="109"/>
      <c r="M29" s="64"/>
      <c r="N29" s="7"/>
    </row>
    <row r="30" spans="2:14" ht="25" hidden="1" customHeight="1" x14ac:dyDescent="0.2">
      <c r="B30" s="64"/>
      <c r="C30" s="86"/>
      <c r="D30" s="30" t="s">
        <v>70</v>
      </c>
      <c r="E30" s="37">
        <v>0.85</v>
      </c>
      <c r="F30" s="37">
        <v>0.85</v>
      </c>
      <c r="G30" s="37">
        <v>0.85</v>
      </c>
      <c r="H30" s="37">
        <v>0.85</v>
      </c>
      <c r="I30" s="37">
        <v>0.85</v>
      </c>
      <c r="J30" s="37">
        <v>0.85</v>
      </c>
      <c r="K30" s="37">
        <v>0.85</v>
      </c>
      <c r="L30" s="95">
        <v>0.85</v>
      </c>
      <c r="M30" s="64"/>
      <c r="N30" s="7"/>
    </row>
    <row r="31" spans="2:14" ht="40" customHeight="1" thickTop="1" thickBot="1" x14ac:dyDescent="0.25">
      <c r="B31" s="64"/>
      <c r="C31" s="217" t="s">
        <v>145</v>
      </c>
      <c r="D31" s="218"/>
      <c r="E31" s="218"/>
      <c r="F31" s="218"/>
      <c r="G31" s="218"/>
      <c r="H31" s="218"/>
      <c r="I31" s="218"/>
      <c r="J31" s="218"/>
      <c r="K31" s="218"/>
      <c r="L31" s="219"/>
      <c r="M31" s="64"/>
      <c r="N31" s="5"/>
    </row>
    <row r="32" spans="2:14" ht="25" customHeight="1" thickTop="1" x14ac:dyDescent="0.2">
      <c r="B32" s="64"/>
      <c r="C32" s="122"/>
      <c r="D32" s="185" t="s">
        <v>27</v>
      </c>
      <c r="E32" s="186">
        <f>calculations!D166</f>
        <v>0.34374999999999989</v>
      </c>
      <c r="F32" s="186">
        <f>calculations!E166</f>
        <v>0</v>
      </c>
      <c r="G32" s="186">
        <f>calculations!F166</f>
        <v>0</v>
      </c>
      <c r="H32" s="186">
        <f>calculations!G166</f>
        <v>0</v>
      </c>
      <c r="I32" s="186">
        <f>calculations!H166</f>
        <v>0</v>
      </c>
      <c r="J32" s="186">
        <f>calculations!I166</f>
        <v>0</v>
      </c>
      <c r="K32" s="186">
        <f>calculations!J166</f>
        <v>0</v>
      </c>
      <c r="L32" s="187">
        <f>calculations!K166</f>
        <v>0</v>
      </c>
      <c r="M32" s="64"/>
      <c r="N32" s="4"/>
    </row>
    <row r="33" spans="2:14" ht="25" customHeight="1" x14ac:dyDescent="0.2">
      <c r="B33" s="64"/>
      <c r="C33" s="123"/>
      <c r="D33" s="188" t="s">
        <v>28</v>
      </c>
      <c r="E33" s="189">
        <f>calculations!D167</f>
        <v>0.23958333333333318</v>
      </c>
      <c r="F33" s="189">
        <f>calculations!E167</f>
        <v>0</v>
      </c>
      <c r="G33" s="189">
        <f>calculations!F167</f>
        <v>0</v>
      </c>
      <c r="H33" s="189">
        <f>calculations!G167</f>
        <v>0</v>
      </c>
      <c r="I33" s="189">
        <f>calculations!H167</f>
        <v>0</v>
      </c>
      <c r="J33" s="189">
        <f>calculations!I167</f>
        <v>0</v>
      </c>
      <c r="K33" s="189">
        <f>calculations!J167</f>
        <v>0</v>
      </c>
      <c r="L33" s="190">
        <f>calculations!K167</f>
        <v>0</v>
      </c>
      <c r="M33" s="64"/>
      <c r="N33" s="4"/>
    </row>
    <row r="34" spans="2:14" ht="25" customHeight="1" thickBot="1" x14ac:dyDescent="0.25">
      <c r="B34" s="64"/>
      <c r="C34" s="124"/>
      <c r="D34" s="191" t="s">
        <v>29</v>
      </c>
      <c r="E34" s="192">
        <f>calculations!D168</f>
        <v>0.69696969696969668</v>
      </c>
      <c r="F34" s="192" t="str">
        <f>calculations!E168</f>
        <v/>
      </c>
      <c r="G34" s="192" t="str">
        <f>calculations!F168</f>
        <v/>
      </c>
      <c r="H34" s="192" t="str">
        <f>calculations!G168</f>
        <v/>
      </c>
      <c r="I34" s="192" t="str">
        <f>calculations!H168</f>
        <v/>
      </c>
      <c r="J34" s="192" t="str">
        <f>calculations!I168</f>
        <v/>
      </c>
      <c r="K34" s="192" t="str">
        <f>calculations!J168</f>
        <v/>
      </c>
      <c r="L34" s="193" t="str">
        <f>calculations!K168</f>
        <v/>
      </c>
      <c r="M34" s="64"/>
      <c r="N34" s="4"/>
    </row>
    <row r="35" spans="2:14" ht="25" customHeight="1" thickTop="1" x14ac:dyDescent="0.2">
      <c r="B35" s="64"/>
      <c r="C35" s="64"/>
      <c r="D35" s="64"/>
      <c r="E35" s="64"/>
      <c r="F35" s="64"/>
      <c r="G35" s="64"/>
      <c r="H35" s="64"/>
      <c r="I35" s="64"/>
      <c r="J35" s="64"/>
      <c r="K35" s="64"/>
      <c r="L35" s="64"/>
      <c r="M35" s="64"/>
    </row>
    <row r="36" spans="2:14" ht="25" customHeight="1" thickBot="1" x14ac:dyDescent="0.25">
      <c r="B36" s="64"/>
      <c r="C36" s="64"/>
      <c r="D36" s="64"/>
      <c r="E36" s="64"/>
      <c r="F36" s="64"/>
      <c r="G36" s="64"/>
      <c r="H36" s="64"/>
      <c r="I36" s="64"/>
      <c r="J36" s="64"/>
      <c r="K36" s="64"/>
      <c r="L36" s="64"/>
      <c r="M36" s="64"/>
    </row>
    <row r="37" spans="2:14" ht="40" customHeight="1" thickTop="1" thickBot="1" x14ac:dyDescent="0.25">
      <c r="B37" s="64"/>
      <c r="C37" s="220" t="s">
        <v>153</v>
      </c>
      <c r="D37" s="221"/>
      <c r="E37" s="234"/>
      <c r="F37" s="64"/>
      <c r="G37" s="64"/>
      <c r="H37" s="64"/>
      <c r="I37" s="64"/>
      <c r="J37" s="64"/>
      <c r="K37" s="64"/>
      <c r="L37" s="64"/>
      <c r="M37" s="64"/>
    </row>
    <row r="38" spans="2:14" ht="25" customHeight="1" thickTop="1" x14ac:dyDescent="0.2">
      <c r="B38" s="64"/>
      <c r="C38" s="82"/>
      <c r="D38" s="172" t="s">
        <v>164</v>
      </c>
      <c r="E38" s="173" t="str">
        <f>calculations!D172</f>
        <v/>
      </c>
      <c r="F38" s="64"/>
      <c r="G38" s="64"/>
      <c r="H38" s="64"/>
      <c r="I38" s="64"/>
      <c r="J38" s="64"/>
      <c r="K38" s="64"/>
      <c r="L38" s="64"/>
      <c r="M38" s="64"/>
    </row>
    <row r="39" spans="2:14" ht="25" customHeight="1" x14ac:dyDescent="0.2">
      <c r="B39" s="64"/>
      <c r="C39" s="81"/>
      <c r="D39" s="174" t="s">
        <v>165</v>
      </c>
      <c r="E39" s="175" t="str">
        <f>calculations!D173</f>
        <v/>
      </c>
      <c r="F39" s="64"/>
      <c r="G39" s="64"/>
      <c r="H39" s="64"/>
      <c r="I39" s="64"/>
      <c r="J39" s="64"/>
      <c r="K39" s="64"/>
      <c r="L39" s="64"/>
      <c r="M39" s="64"/>
    </row>
    <row r="40" spans="2:14" ht="25" customHeight="1" x14ac:dyDescent="0.2">
      <c r="B40" s="64"/>
      <c r="C40" s="86"/>
      <c r="D40" s="176" t="s">
        <v>166</v>
      </c>
      <c r="E40" s="177" t="str">
        <f>calculations!D174</f>
        <v/>
      </c>
      <c r="F40" s="64"/>
      <c r="G40" s="64"/>
      <c r="H40" s="64"/>
      <c r="I40" s="64"/>
      <c r="J40" s="64"/>
      <c r="K40" s="64"/>
      <c r="L40" s="64"/>
      <c r="M40" s="64"/>
    </row>
    <row r="41" spans="2:14" ht="25" customHeight="1" x14ac:dyDescent="0.2">
      <c r="B41" s="64"/>
      <c r="C41" s="83"/>
      <c r="D41" s="178" t="s">
        <v>167</v>
      </c>
      <c r="E41" s="175" t="str">
        <f>calculations!D175</f>
        <v/>
      </c>
      <c r="F41" s="64"/>
      <c r="G41" s="64"/>
      <c r="H41" s="64"/>
      <c r="I41" s="64"/>
      <c r="J41" s="64"/>
      <c r="K41" s="64"/>
      <c r="L41" s="64"/>
      <c r="M41" s="64"/>
    </row>
    <row r="42" spans="2:14" ht="25" customHeight="1" x14ac:dyDescent="0.2">
      <c r="B42" s="64"/>
      <c r="C42" s="85"/>
      <c r="D42" s="179" t="s">
        <v>168</v>
      </c>
      <c r="E42" s="177" t="str">
        <f>calculations!D176</f>
        <v/>
      </c>
      <c r="F42" s="64"/>
      <c r="G42" s="64"/>
      <c r="H42" s="64"/>
      <c r="I42" s="64"/>
      <c r="J42" s="64"/>
      <c r="K42" s="64"/>
      <c r="L42" s="64"/>
      <c r="M42" s="64"/>
    </row>
    <row r="43" spans="2:14" ht="25" customHeight="1" x14ac:dyDescent="0.2">
      <c r="B43" s="64"/>
      <c r="C43" s="84"/>
      <c r="D43" s="174" t="s">
        <v>169</v>
      </c>
      <c r="E43" s="175" t="str">
        <f>calculations!D177</f>
        <v/>
      </c>
      <c r="F43" s="64"/>
      <c r="G43" s="64"/>
      <c r="H43" s="64"/>
      <c r="I43" s="64"/>
      <c r="J43" s="64"/>
      <c r="K43" s="64"/>
      <c r="L43" s="64"/>
      <c r="M43" s="64"/>
    </row>
    <row r="44" spans="2:14" ht="25" customHeight="1" x14ac:dyDescent="0.2">
      <c r="B44" s="64"/>
      <c r="C44" s="85"/>
      <c r="D44" s="179" t="s">
        <v>72</v>
      </c>
      <c r="E44" s="181" t="str">
        <f>calculations!D178</f>
        <v/>
      </c>
      <c r="F44" s="64"/>
      <c r="G44" s="64"/>
      <c r="H44" s="64"/>
      <c r="I44" s="64"/>
      <c r="J44" s="64"/>
      <c r="K44" s="64"/>
      <c r="L44" s="64"/>
      <c r="M44" s="64"/>
    </row>
    <row r="45" spans="2:14" ht="25" customHeight="1" thickBot="1" x14ac:dyDescent="0.25">
      <c r="B45" s="64"/>
      <c r="C45" s="87"/>
      <c r="D45" s="183" t="s">
        <v>73</v>
      </c>
      <c r="E45" s="184" t="str">
        <f>calculations!D179</f>
        <v/>
      </c>
      <c r="F45" s="64"/>
      <c r="G45" s="64"/>
      <c r="H45" s="64"/>
      <c r="I45" s="64"/>
      <c r="J45" s="64"/>
      <c r="K45" s="64"/>
      <c r="L45" s="64"/>
      <c r="M45" s="64"/>
    </row>
    <row r="46" spans="2:14" ht="25" customHeight="1" thickTop="1" x14ac:dyDescent="0.2">
      <c r="B46" s="64"/>
      <c r="C46" s="64"/>
      <c r="D46" s="64"/>
      <c r="E46" s="64"/>
      <c r="F46" s="64"/>
      <c r="G46" s="64"/>
      <c r="H46" s="64"/>
      <c r="I46" s="64"/>
      <c r="J46" s="64"/>
      <c r="K46" s="64"/>
      <c r="L46" s="64"/>
      <c r="M46" s="64"/>
    </row>
    <row r="47" spans="2:14" ht="25" customHeight="1" x14ac:dyDescent="0.2">
      <c r="B47" s="64"/>
      <c r="C47" s="64"/>
      <c r="D47" s="64"/>
      <c r="E47" s="64"/>
      <c r="F47" s="64"/>
      <c r="G47" s="64"/>
      <c r="H47" s="64"/>
      <c r="I47" s="64"/>
      <c r="J47" s="64"/>
      <c r="K47" s="64"/>
      <c r="L47" s="64"/>
      <c r="M47" s="64"/>
    </row>
    <row r="48" spans="2:14" ht="25" customHeight="1" x14ac:dyDescent="0.2">
      <c r="B48" s="64"/>
      <c r="C48" s="64"/>
      <c r="D48" s="64"/>
      <c r="E48" s="64"/>
      <c r="F48" s="64"/>
      <c r="G48" s="64"/>
      <c r="H48" s="64"/>
      <c r="I48" s="64"/>
      <c r="J48" s="64"/>
      <c r="K48" s="64"/>
      <c r="L48" s="64"/>
      <c r="M48" s="64"/>
    </row>
    <row r="49" spans="2:13" ht="25" customHeight="1" x14ac:dyDescent="0.2">
      <c r="B49" s="64"/>
      <c r="C49" s="64"/>
      <c r="D49" s="64"/>
      <c r="E49" s="64"/>
      <c r="F49" s="64"/>
      <c r="G49" s="64"/>
      <c r="H49" s="64"/>
      <c r="I49" s="64"/>
      <c r="J49" s="64"/>
      <c r="K49" s="64"/>
      <c r="L49" s="64"/>
      <c r="M49" s="64"/>
    </row>
  </sheetData>
  <mergeCells count="6">
    <mergeCell ref="C37:E37"/>
    <mergeCell ref="B1:M1"/>
    <mergeCell ref="C3:E3"/>
    <mergeCell ref="C15:E15"/>
    <mergeCell ref="C18:D18"/>
    <mergeCell ref="C31:L31"/>
  </mergeCells>
  <pageMargins left="0.7" right="0.7" top="0.75" bottom="0.75" header="0.3" footer="0.3"/>
  <pageSetup scale="35" orientation="portrait" r:id="rId1"/>
  <ignoredErrors>
    <ignoredError sqref="E38:E45 E32:L34" unlockedFormula="1"/>
    <ignoredError sqref="C19:C29 C4:C10" numberStoredAsText="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calculations!$S$5:$S$9</xm:f>
          </x14:formula1>
          <xm:sqref>E5:E8</xm:sqref>
        </x14:dataValidation>
        <x14:dataValidation type="list" allowBlank="1" showInputMessage="1" showErrorMessage="1" xr:uid="{00000000-0002-0000-0500-000001000000}">
          <x14:formula1>
            <xm:f>calculations!$U$5:$U$9</xm:f>
          </x14:formula1>
          <xm:sqref>E29:L29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N48"/>
  <sheetViews>
    <sheetView topLeftCell="A25" zoomScaleNormal="100" workbookViewId="0">
      <selection activeCell="D46" sqref="D46"/>
    </sheetView>
  </sheetViews>
  <sheetFormatPr baseColWidth="10" defaultColWidth="10.83203125" defaultRowHeight="25" customHeight="1" x14ac:dyDescent="0.2"/>
  <cols>
    <col min="1" max="1" width="10.83203125" style="3"/>
    <col min="2" max="2" width="10.1640625" style="3" customWidth="1"/>
    <col min="3" max="3" width="4.6640625" style="3" customWidth="1"/>
    <col min="4" max="4" width="87.83203125" style="3" customWidth="1"/>
    <col min="5" max="5" width="12.83203125" style="3" customWidth="1"/>
    <col min="6" max="12" width="12.6640625" style="3" customWidth="1"/>
    <col min="13" max="13" width="10.1640625" style="3" customWidth="1"/>
    <col min="14" max="16384" width="10.83203125" style="3"/>
  </cols>
  <sheetData>
    <row r="1" spans="2:13" ht="115" customHeight="1" thickBot="1" x14ac:dyDescent="0.25">
      <c r="B1" s="209" t="s">
        <v>130</v>
      </c>
      <c r="C1" s="209"/>
      <c r="D1" s="209"/>
      <c r="E1" s="209"/>
      <c r="F1" s="209"/>
      <c r="G1" s="209"/>
      <c r="H1" s="209"/>
      <c r="I1" s="209"/>
      <c r="J1" s="209"/>
      <c r="K1" s="209"/>
      <c r="L1" s="209"/>
      <c r="M1" s="209"/>
    </row>
    <row r="2" spans="2:13" ht="20" customHeight="1" thickTop="1" thickBot="1" x14ac:dyDescent="0.25">
      <c r="B2" s="64"/>
      <c r="C2" s="64"/>
      <c r="D2" s="64"/>
      <c r="E2" s="64"/>
      <c r="F2" s="64"/>
      <c r="G2" s="64"/>
      <c r="H2" s="64"/>
      <c r="I2" s="64"/>
      <c r="J2" s="64"/>
      <c r="K2" s="64"/>
      <c r="L2" s="64"/>
      <c r="M2" s="64"/>
    </row>
    <row r="3" spans="2:13" ht="40" customHeight="1" thickTop="1" thickBot="1" x14ac:dyDescent="0.25">
      <c r="B3" s="64"/>
      <c r="C3" s="222" t="s">
        <v>85</v>
      </c>
      <c r="D3" s="232" t="s">
        <v>85</v>
      </c>
      <c r="E3" s="233"/>
      <c r="F3" s="64"/>
      <c r="G3" s="64"/>
      <c r="H3" s="64"/>
      <c r="I3" s="64"/>
      <c r="J3" s="64"/>
      <c r="K3" s="64"/>
      <c r="L3" s="64"/>
      <c r="M3" s="64"/>
    </row>
    <row r="4" spans="2:13" ht="25" customHeight="1" thickTop="1" x14ac:dyDescent="0.2">
      <c r="B4" s="64"/>
      <c r="C4" s="94" t="s">
        <v>7</v>
      </c>
      <c r="D4" s="145" t="s">
        <v>163</v>
      </c>
      <c r="E4" s="126"/>
      <c r="F4" s="64"/>
      <c r="G4" s="64"/>
      <c r="H4" s="64"/>
      <c r="I4" s="64"/>
      <c r="J4" s="64"/>
      <c r="K4" s="64"/>
      <c r="L4" s="64"/>
      <c r="M4" s="64"/>
    </row>
    <row r="5" spans="2:13" ht="25" customHeight="1" x14ac:dyDescent="0.2">
      <c r="B5" s="64"/>
      <c r="C5" s="134"/>
      <c r="D5" s="146" t="s">
        <v>76</v>
      </c>
      <c r="E5" s="161" t="s">
        <v>80</v>
      </c>
      <c r="F5" s="64"/>
      <c r="G5" s="64"/>
      <c r="H5" s="64"/>
      <c r="I5" s="64"/>
      <c r="J5" s="64"/>
      <c r="K5" s="64"/>
      <c r="L5" s="64"/>
      <c r="M5" s="64"/>
    </row>
    <row r="6" spans="2:13" ht="25" customHeight="1" x14ac:dyDescent="0.2">
      <c r="B6" s="64"/>
      <c r="C6" s="135"/>
      <c r="D6" s="147" t="s">
        <v>77</v>
      </c>
      <c r="E6" s="162" t="s">
        <v>80</v>
      </c>
      <c r="F6" s="64"/>
      <c r="G6" s="64"/>
      <c r="H6" s="64"/>
      <c r="I6" s="64"/>
      <c r="J6" s="64"/>
      <c r="K6" s="64"/>
      <c r="L6" s="64"/>
      <c r="M6" s="64"/>
    </row>
    <row r="7" spans="2:13" ht="25" customHeight="1" x14ac:dyDescent="0.2">
      <c r="B7" s="64"/>
      <c r="C7" s="89"/>
      <c r="D7" s="148" t="s">
        <v>78</v>
      </c>
      <c r="E7" s="161" t="s">
        <v>80</v>
      </c>
      <c r="F7" s="64"/>
      <c r="G7" s="64"/>
      <c r="H7" s="64"/>
      <c r="I7" s="64"/>
      <c r="J7" s="64"/>
      <c r="K7" s="64"/>
      <c r="L7" s="64"/>
      <c r="M7" s="64"/>
    </row>
    <row r="8" spans="2:13" ht="25" customHeight="1" x14ac:dyDescent="0.2">
      <c r="B8" s="64"/>
      <c r="C8" s="152"/>
      <c r="D8" s="153" t="s">
        <v>79</v>
      </c>
      <c r="E8" s="163" t="s">
        <v>80</v>
      </c>
      <c r="F8" s="64"/>
      <c r="G8" s="64"/>
      <c r="H8" s="64"/>
      <c r="I8" s="64"/>
      <c r="J8" s="64"/>
      <c r="K8" s="64"/>
      <c r="L8" s="64"/>
      <c r="M8" s="64"/>
    </row>
    <row r="9" spans="2:13" ht="25" customHeight="1" thickBot="1" x14ac:dyDescent="0.25">
      <c r="B9" s="64"/>
      <c r="C9" s="136"/>
      <c r="D9" s="137"/>
      <c r="E9" s="131"/>
      <c r="F9" s="64"/>
      <c r="G9" s="64"/>
      <c r="H9" s="64"/>
      <c r="I9" s="64"/>
      <c r="J9" s="64"/>
      <c r="K9" s="64"/>
      <c r="L9" s="64"/>
      <c r="M9" s="64"/>
    </row>
    <row r="10" spans="2:13" ht="25" customHeight="1" x14ac:dyDescent="0.2">
      <c r="B10" s="64"/>
      <c r="C10" s="154" t="s">
        <v>8</v>
      </c>
      <c r="D10" s="151" t="s">
        <v>156</v>
      </c>
      <c r="E10" s="125"/>
      <c r="F10" s="64"/>
      <c r="G10" s="64"/>
      <c r="H10" s="64"/>
      <c r="I10" s="64"/>
      <c r="J10" s="64"/>
      <c r="K10" s="64"/>
      <c r="L10" s="64"/>
      <c r="M10" s="64"/>
    </row>
    <row r="11" spans="2:13" ht="25" customHeight="1" x14ac:dyDescent="0.2">
      <c r="B11" s="64"/>
      <c r="C11" s="89"/>
      <c r="D11" s="148" t="s">
        <v>162</v>
      </c>
      <c r="E11" s="132" t="str">
        <f>IFERROR('Week 5'!E45, "*Error in calculation")</f>
        <v/>
      </c>
      <c r="F11" s="64"/>
      <c r="G11" s="64"/>
      <c r="H11" s="64"/>
      <c r="I11" s="64"/>
      <c r="J11" s="64"/>
      <c r="K11" s="64"/>
      <c r="L11" s="64"/>
      <c r="M11" s="64"/>
    </row>
    <row r="12" spans="2:13" ht="75" customHeight="1" x14ac:dyDescent="0.2">
      <c r="B12" s="64"/>
      <c r="C12" s="135"/>
      <c r="D12" s="149" t="s">
        <v>160</v>
      </c>
      <c r="E12" s="155" t="str">
        <f>calculations!S205</f>
        <v> Do not change your Time in Bed</v>
      </c>
      <c r="F12" s="64"/>
      <c r="G12" s="64"/>
      <c r="H12" s="64"/>
      <c r="I12" s="64"/>
      <c r="J12" s="64"/>
      <c r="K12" s="64"/>
      <c r="L12" s="64"/>
      <c r="M12" s="64"/>
    </row>
    <row r="13" spans="2:13" ht="35" customHeight="1" x14ac:dyDescent="0.2">
      <c r="B13" s="64"/>
      <c r="C13" s="89"/>
      <c r="D13" s="148" t="s">
        <v>95</v>
      </c>
      <c r="E13" s="133" t="str">
        <f>IFERROR(calculations!T212, "*Error in calculation")</f>
        <v>*Error in calculation</v>
      </c>
      <c r="F13" s="140" t="str">
        <f>IF(E13&lt;=0.229166666666667,"&lt;&lt; Do not decrease your time in bed to under 5 ½ hours (330 Minutes). ","")</f>
        <v/>
      </c>
      <c r="G13" s="64"/>
      <c r="H13" s="64"/>
      <c r="I13" s="64"/>
      <c r="J13" s="64"/>
      <c r="K13" s="64"/>
      <c r="L13" s="64"/>
      <c r="M13" s="64"/>
    </row>
    <row r="14" spans="2:13" ht="35" customHeight="1" x14ac:dyDescent="0.2">
      <c r="B14" s="64"/>
      <c r="C14" s="152"/>
      <c r="D14" s="153" t="s">
        <v>92</v>
      </c>
      <c r="E14" s="155" t="str">
        <f>IFERROR(calculations!S215, "*Error in calculation")</f>
        <v>*Error in calculation</v>
      </c>
      <c r="F14" s="64"/>
      <c r="G14" s="64"/>
      <c r="H14" s="64"/>
      <c r="I14" s="64"/>
      <c r="J14" s="64"/>
      <c r="K14" s="64"/>
      <c r="L14" s="64"/>
      <c r="M14" s="64"/>
    </row>
    <row r="15" spans="2:13" ht="25" customHeight="1" thickBot="1" x14ac:dyDescent="0.25">
      <c r="B15" s="64"/>
      <c r="C15" s="235" t="s">
        <v>143</v>
      </c>
      <c r="D15" s="236"/>
      <c r="E15" s="237"/>
      <c r="F15" s="64"/>
      <c r="G15" s="64"/>
      <c r="H15" s="64"/>
      <c r="I15" s="64"/>
      <c r="J15" s="64"/>
      <c r="K15" s="64"/>
      <c r="L15" s="64"/>
      <c r="M15" s="64"/>
    </row>
    <row r="16" spans="2:13" ht="25" customHeight="1" thickTop="1" x14ac:dyDescent="0.2">
      <c r="B16" s="64"/>
      <c r="C16" s="64"/>
      <c r="D16" s="64"/>
      <c r="E16" s="64"/>
      <c r="F16" s="64"/>
      <c r="G16" s="64"/>
      <c r="H16" s="64"/>
      <c r="I16" s="64"/>
      <c r="J16" s="64"/>
      <c r="K16" s="64"/>
      <c r="L16" s="64"/>
      <c r="M16" s="64"/>
    </row>
    <row r="17" spans="2:14" ht="25" customHeight="1" thickBot="1" x14ac:dyDescent="0.25">
      <c r="B17" s="64"/>
      <c r="C17" s="64"/>
      <c r="D17" s="64"/>
      <c r="E17" s="64"/>
      <c r="F17" s="64"/>
      <c r="G17" s="64"/>
      <c r="H17" s="64"/>
      <c r="I17" s="64"/>
      <c r="J17" s="64"/>
      <c r="K17" s="64"/>
      <c r="L17" s="64"/>
      <c r="M17" s="64"/>
    </row>
    <row r="18" spans="2:14" ht="40" customHeight="1" thickTop="1" thickBot="1" x14ac:dyDescent="0.25">
      <c r="B18" s="64"/>
      <c r="C18" s="214"/>
      <c r="D18" s="215" t="s">
        <v>56</v>
      </c>
      <c r="E18" s="77" t="s">
        <v>58</v>
      </c>
      <c r="F18" s="78" t="s">
        <v>17</v>
      </c>
      <c r="G18" s="78" t="s">
        <v>18</v>
      </c>
      <c r="H18" s="78" t="s">
        <v>19</v>
      </c>
      <c r="I18" s="78" t="s">
        <v>20</v>
      </c>
      <c r="J18" s="78" t="s">
        <v>21</v>
      </c>
      <c r="K18" s="76" t="s">
        <v>22</v>
      </c>
      <c r="L18" s="79" t="s">
        <v>23</v>
      </c>
      <c r="M18" s="64"/>
      <c r="N18" s="46"/>
    </row>
    <row r="19" spans="2:14" ht="25" customHeight="1" thickTop="1" x14ac:dyDescent="0.2">
      <c r="B19" s="64"/>
      <c r="C19" s="88" t="s">
        <v>7</v>
      </c>
      <c r="D19" s="116" t="s">
        <v>0</v>
      </c>
      <c r="E19" s="110">
        <v>40544</v>
      </c>
      <c r="F19" s="96"/>
      <c r="G19" s="96"/>
      <c r="H19" s="96"/>
      <c r="I19" s="96"/>
      <c r="J19" s="96"/>
      <c r="K19" s="96"/>
      <c r="L19" s="97"/>
      <c r="M19" s="64"/>
      <c r="N19" s="6"/>
    </row>
    <row r="20" spans="2:14" ht="25" customHeight="1" x14ac:dyDescent="0.2">
      <c r="B20" s="64"/>
      <c r="C20" s="89" t="s">
        <v>8</v>
      </c>
      <c r="D20" s="117" t="s">
        <v>25</v>
      </c>
      <c r="E20" s="111">
        <v>30</v>
      </c>
      <c r="F20" s="98"/>
      <c r="G20" s="98"/>
      <c r="H20" s="98"/>
      <c r="I20" s="98"/>
      <c r="J20" s="98"/>
      <c r="K20" s="98"/>
      <c r="L20" s="99"/>
      <c r="M20" s="64"/>
      <c r="N20" s="7"/>
    </row>
    <row r="21" spans="2:14" ht="25" customHeight="1" x14ac:dyDescent="0.2">
      <c r="B21" s="64"/>
      <c r="C21" s="90" t="s">
        <v>9</v>
      </c>
      <c r="D21" s="118" t="s">
        <v>1</v>
      </c>
      <c r="E21" s="112">
        <v>0.97916666666666663</v>
      </c>
      <c r="F21" s="100"/>
      <c r="G21" s="100"/>
      <c r="H21" s="100"/>
      <c r="I21" s="100"/>
      <c r="J21" s="100"/>
      <c r="K21" s="100"/>
      <c r="L21" s="101"/>
      <c r="M21" s="64"/>
      <c r="N21" s="7"/>
    </row>
    <row r="22" spans="2:14" ht="25" customHeight="1" x14ac:dyDescent="0.2">
      <c r="B22" s="64"/>
      <c r="C22" s="89" t="s">
        <v>10</v>
      </c>
      <c r="D22" s="117" t="s">
        <v>2</v>
      </c>
      <c r="E22" s="113">
        <v>0.98958333333333337</v>
      </c>
      <c r="F22" s="102"/>
      <c r="G22" s="102"/>
      <c r="H22" s="102"/>
      <c r="I22" s="102"/>
      <c r="J22" s="102"/>
      <c r="K22" s="102"/>
      <c r="L22" s="103"/>
      <c r="M22" s="64"/>
      <c r="N22" s="7"/>
    </row>
    <row r="23" spans="2:14" ht="25" customHeight="1" x14ac:dyDescent="0.2">
      <c r="B23" s="64"/>
      <c r="C23" s="91" t="s">
        <v>11</v>
      </c>
      <c r="D23" s="119" t="s">
        <v>16</v>
      </c>
      <c r="E23" s="114">
        <v>30</v>
      </c>
      <c r="F23" s="104"/>
      <c r="G23" s="104"/>
      <c r="H23" s="104"/>
      <c r="I23" s="104"/>
      <c r="J23" s="104"/>
      <c r="K23" s="104"/>
      <c r="L23" s="105"/>
      <c r="M23" s="64"/>
      <c r="N23" s="8"/>
    </row>
    <row r="24" spans="2:14" ht="25" customHeight="1" x14ac:dyDescent="0.2">
      <c r="B24" s="64"/>
      <c r="C24" s="92" t="s">
        <v>12</v>
      </c>
      <c r="D24" s="120" t="s">
        <v>3</v>
      </c>
      <c r="E24" s="111">
        <v>2</v>
      </c>
      <c r="F24" s="98"/>
      <c r="G24" s="98"/>
      <c r="H24" s="98"/>
      <c r="I24" s="98"/>
      <c r="J24" s="98"/>
      <c r="K24" s="98"/>
      <c r="L24" s="99"/>
      <c r="M24" s="64"/>
      <c r="N24" s="8"/>
    </row>
    <row r="25" spans="2:14" ht="25" customHeight="1" x14ac:dyDescent="0.2">
      <c r="B25" s="64"/>
      <c r="C25" s="90" t="s">
        <v>13</v>
      </c>
      <c r="D25" s="118" t="s">
        <v>4</v>
      </c>
      <c r="E25" s="114">
        <v>60</v>
      </c>
      <c r="F25" s="104"/>
      <c r="G25" s="106"/>
      <c r="H25" s="106"/>
      <c r="I25" s="106"/>
      <c r="J25" s="106"/>
      <c r="K25" s="106"/>
      <c r="L25" s="107"/>
      <c r="M25" s="64"/>
      <c r="N25" s="7"/>
    </row>
    <row r="26" spans="2:14" ht="25" customHeight="1" x14ac:dyDescent="0.2">
      <c r="B26" s="64"/>
      <c r="C26" s="92" t="s">
        <v>14</v>
      </c>
      <c r="D26" s="120" t="s">
        <v>5</v>
      </c>
      <c r="E26" s="113">
        <v>0.29166666666666669</v>
      </c>
      <c r="F26" s="102"/>
      <c r="G26" s="102"/>
      <c r="H26" s="102"/>
      <c r="I26" s="102"/>
      <c r="J26" s="102"/>
      <c r="K26" s="102"/>
      <c r="L26" s="103"/>
      <c r="M26" s="64"/>
      <c r="N26" s="8"/>
    </row>
    <row r="27" spans="2:14" ht="25" customHeight="1" x14ac:dyDescent="0.2">
      <c r="B27" s="64"/>
      <c r="C27" s="90" t="s">
        <v>15</v>
      </c>
      <c r="D27" s="118" t="s">
        <v>6</v>
      </c>
      <c r="E27" s="112">
        <v>0.33333333333333331</v>
      </c>
      <c r="F27" s="100"/>
      <c r="G27" s="100"/>
      <c r="H27" s="100"/>
      <c r="I27" s="100"/>
      <c r="J27" s="100"/>
      <c r="K27" s="100"/>
      <c r="L27" s="101"/>
      <c r="M27" s="64"/>
      <c r="N27" s="7"/>
    </row>
    <row r="28" spans="2:14" ht="25" customHeight="1" x14ac:dyDescent="0.2">
      <c r="B28" s="64"/>
      <c r="C28" s="93" t="s">
        <v>26</v>
      </c>
      <c r="D28" s="117" t="s">
        <v>137</v>
      </c>
      <c r="E28" s="111">
        <v>30</v>
      </c>
      <c r="F28" s="98"/>
      <c r="G28" s="98"/>
      <c r="H28" s="98"/>
      <c r="I28" s="98"/>
      <c r="J28" s="98"/>
      <c r="K28" s="98"/>
      <c r="L28" s="99"/>
      <c r="M28" s="64"/>
      <c r="N28" s="7"/>
    </row>
    <row r="29" spans="2:14" ht="25" customHeight="1" thickBot="1" x14ac:dyDescent="0.25">
      <c r="B29" s="64"/>
      <c r="C29" s="94" t="s">
        <v>104</v>
      </c>
      <c r="D29" s="121" t="s">
        <v>105</v>
      </c>
      <c r="E29" s="115" t="s">
        <v>109</v>
      </c>
      <c r="F29" s="108"/>
      <c r="G29" s="108"/>
      <c r="H29" s="108"/>
      <c r="I29" s="108"/>
      <c r="J29" s="108"/>
      <c r="K29" s="108"/>
      <c r="L29" s="109"/>
      <c r="M29" s="64"/>
      <c r="N29" s="7"/>
    </row>
    <row r="30" spans="2:14" ht="25" hidden="1" customHeight="1" x14ac:dyDescent="0.2">
      <c r="B30" s="64"/>
      <c r="C30" s="86"/>
      <c r="D30" s="30" t="s">
        <v>70</v>
      </c>
      <c r="E30" s="37">
        <v>0.85</v>
      </c>
      <c r="F30" s="37">
        <v>0.85</v>
      </c>
      <c r="G30" s="37">
        <v>0.85</v>
      </c>
      <c r="H30" s="37">
        <v>0.85</v>
      </c>
      <c r="I30" s="37">
        <v>0.85</v>
      </c>
      <c r="J30" s="37">
        <v>0.85</v>
      </c>
      <c r="K30" s="37">
        <v>0.85</v>
      </c>
      <c r="L30" s="95">
        <v>0.85</v>
      </c>
      <c r="M30" s="64"/>
      <c r="N30" s="7"/>
    </row>
    <row r="31" spans="2:14" ht="40" customHeight="1" thickTop="1" thickBot="1" x14ac:dyDescent="0.25">
      <c r="B31" s="64"/>
      <c r="C31" s="217" t="s">
        <v>139</v>
      </c>
      <c r="D31" s="218"/>
      <c r="E31" s="218"/>
      <c r="F31" s="218"/>
      <c r="G31" s="218"/>
      <c r="H31" s="218"/>
      <c r="I31" s="218"/>
      <c r="J31" s="218"/>
      <c r="K31" s="218"/>
      <c r="L31" s="219"/>
      <c r="M31" s="64"/>
      <c r="N31" s="5"/>
    </row>
    <row r="32" spans="2:14" ht="25" customHeight="1" thickTop="1" x14ac:dyDescent="0.2">
      <c r="B32" s="64"/>
      <c r="C32" s="122"/>
      <c r="D32" s="185" t="s">
        <v>27</v>
      </c>
      <c r="E32" s="186">
        <f>calculations!D202</f>
        <v>0.34374999999999989</v>
      </c>
      <c r="F32" s="186">
        <f>calculations!E202</f>
        <v>0</v>
      </c>
      <c r="G32" s="186">
        <f>calculations!F202</f>
        <v>0</v>
      </c>
      <c r="H32" s="186">
        <f>calculations!G202</f>
        <v>0</v>
      </c>
      <c r="I32" s="186">
        <f>calculations!H202</f>
        <v>0</v>
      </c>
      <c r="J32" s="186">
        <f>calculations!I202</f>
        <v>0</v>
      </c>
      <c r="K32" s="186">
        <f>calculations!J202</f>
        <v>0</v>
      </c>
      <c r="L32" s="187">
        <f>calculations!K202</f>
        <v>0</v>
      </c>
      <c r="M32" s="64"/>
      <c r="N32" s="4"/>
    </row>
    <row r="33" spans="2:14" ht="25" customHeight="1" x14ac:dyDescent="0.2">
      <c r="B33" s="64"/>
      <c r="C33" s="123"/>
      <c r="D33" s="188" t="s">
        <v>28</v>
      </c>
      <c r="E33" s="189">
        <f>calculations!D203</f>
        <v>0.23958333333333318</v>
      </c>
      <c r="F33" s="189">
        <f>calculations!E203</f>
        <v>0</v>
      </c>
      <c r="G33" s="189">
        <f>calculations!F203</f>
        <v>0</v>
      </c>
      <c r="H33" s="189">
        <f>calculations!G203</f>
        <v>0</v>
      </c>
      <c r="I33" s="189">
        <f>calculations!H203</f>
        <v>0</v>
      </c>
      <c r="J33" s="189">
        <f>calculations!I203</f>
        <v>0</v>
      </c>
      <c r="K33" s="189">
        <f>calculations!J203</f>
        <v>0</v>
      </c>
      <c r="L33" s="190">
        <f>calculations!K203</f>
        <v>0</v>
      </c>
      <c r="M33" s="64"/>
      <c r="N33" s="4"/>
    </row>
    <row r="34" spans="2:14" ht="25" customHeight="1" thickBot="1" x14ac:dyDescent="0.25">
      <c r="B34" s="64"/>
      <c r="C34" s="124"/>
      <c r="D34" s="191" t="s">
        <v>29</v>
      </c>
      <c r="E34" s="192">
        <f>calculations!D204</f>
        <v>0.69696969696969668</v>
      </c>
      <c r="F34" s="192" t="str">
        <f>calculations!E204</f>
        <v/>
      </c>
      <c r="G34" s="192" t="str">
        <f>calculations!F204</f>
        <v/>
      </c>
      <c r="H34" s="192" t="str">
        <f>calculations!G204</f>
        <v/>
      </c>
      <c r="I34" s="192" t="str">
        <f>calculations!H204</f>
        <v/>
      </c>
      <c r="J34" s="192" t="str">
        <f>calculations!I204</f>
        <v/>
      </c>
      <c r="K34" s="192" t="str">
        <f>calculations!J204</f>
        <v/>
      </c>
      <c r="L34" s="193" t="str">
        <f>calculations!K204</f>
        <v/>
      </c>
      <c r="M34" s="64"/>
      <c r="N34" s="4"/>
    </row>
    <row r="35" spans="2:14" ht="25" customHeight="1" thickTop="1" x14ac:dyDescent="0.2">
      <c r="B35" s="64"/>
      <c r="C35" s="64"/>
      <c r="D35" s="64"/>
      <c r="E35" s="64"/>
      <c r="F35" s="64"/>
      <c r="G35" s="64"/>
      <c r="H35" s="64"/>
      <c r="I35" s="64"/>
      <c r="J35" s="64"/>
      <c r="K35" s="64"/>
      <c r="L35" s="64"/>
      <c r="M35" s="64"/>
    </row>
    <row r="36" spans="2:14" ht="25" customHeight="1" thickBot="1" x14ac:dyDescent="0.25">
      <c r="B36" s="64"/>
      <c r="C36" s="64"/>
      <c r="D36" s="64"/>
      <c r="E36" s="64"/>
      <c r="F36" s="64"/>
      <c r="G36" s="64"/>
      <c r="H36" s="64"/>
      <c r="I36" s="64"/>
      <c r="J36" s="64"/>
      <c r="K36" s="64"/>
      <c r="L36" s="64"/>
      <c r="M36" s="64"/>
    </row>
    <row r="37" spans="2:14" ht="40" customHeight="1" thickTop="1" thickBot="1" x14ac:dyDescent="0.25">
      <c r="B37" s="64"/>
      <c r="C37" s="220" t="s">
        <v>153</v>
      </c>
      <c r="D37" s="221"/>
      <c r="E37" s="234"/>
      <c r="F37" s="64"/>
      <c r="G37" s="64"/>
      <c r="H37" s="64"/>
      <c r="I37" s="64"/>
      <c r="J37" s="64"/>
      <c r="K37" s="64"/>
      <c r="L37" s="64"/>
      <c r="M37" s="64"/>
    </row>
    <row r="38" spans="2:14" ht="25" customHeight="1" thickTop="1" x14ac:dyDescent="0.2">
      <c r="B38" s="64"/>
      <c r="C38" s="171"/>
      <c r="D38" s="172" t="s">
        <v>164</v>
      </c>
      <c r="E38" s="173" t="str">
        <f>calculations!D208</f>
        <v/>
      </c>
      <c r="F38" s="64"/>
      <c r="G38" s="64"/>
      <c r="H38" s="64"/>
      <c r="I38" s="64"/>
      <c r="J38" s="64"/>
      <c r="K38" s="64"/>
      <c r="L38" s="64"/>
      <c r="M38" s="64"/>
    </row>
    <row r="39" spans="2:14" ht="25" customHeight="1" x14ac:dyDescent="0.2">
      <c r="B39" s="64"/>
      <c r="C39" s="90"/>
      <c r="D39" s="174" t="s">
        <v>165</v>
      </c>
      <c r="E39" s="175" t="str">
        <f>calculations!D209</f>
        <v/>
      </c>
      <c r="F39" s="64"/>
      <c r="G39" s="64"/>
      <c r="H39" s="64"/>
      <c r="I39" s="64"/>
      <c r="J39" s="64"/>
      <c r="K39" s="64"/>
      <c r="L39" s="64"/>
      <c r="M39" s="64"/>
    </row>
    <row r="40" spans="2:14" ht="25" customHeight="1" x14ac:dyDescent="0.2">
      <c r="B40" s="64"/>
      <c r="C40" s="89"/>
      <c r="D40" s="176" t="s">
        <v>166</v>
      </c>
      <c r="E40" s="177" t="str">
        <f>calculations!D210</f>
        <v/>
      </c>
      <c r="F40" s="64"/>
      <c r="G40" s="64"/>
      <c r="H40" s="64"/>
      <c r="I40" s="64"/>
      <c r="J40" s="64"/>
      <c r="K40" s="64"/>
      <c r="L40" s="64"/>
      <c r="M40" s="64"/>
    </row>
    <row r="41" spans="2:14" ht="25" customHeight="1" x14ac:dyDescent="0.2">
      <c r="B41" s="64"/>
      <c r="C41" s="91"/>
      <c r="D41" s="178" t="s">
        <v>167</v>
      </c>
      <c r="E41" s="175" t="str">
        <f>calculations!D211</f>
        <v/>
      </c>
      <c r="F41" s="64"/>
      <c r="G41" s="64"/>
      <c r="H41" s="64"/>
      <c r="I41" s="64"/>
      <c r="J41" s="64"/>
      <c r="K41" s="64"/>
      <c r="L41" s="64"/>
      <c r="M41" s="64"/>
    </row>
    <row r="42" spans="2:14" ht="25" customHeight="1" x14ac:dyDescent="0.2">
      <c r="B42" s="64"/>
      <c r="C42" s="92"/>
      <c r="D42" s="179" t="s">
        <v>168</v>
      </c>
      <c r="E42" s="177" t="str">
        <f>calculations!D212</f>
        <v/>
      </c>
      <c r="F42" s="64"/>
      <c r="G42" s="64"/>
      <c r="H42" s="64"/>
      <c r="I42" s="64"/>
      <c r="J42" s="64"/>
      <c r="K42" s="64"/>
      <c r="L42" s="64"/>
      <c r="M42" s="64"/>
    </row>
    <row r="43" spans="2:14" ht="25" customHeight="1" x14ac:dyDescent="0.2">
      <c r="B43" s="64"/>
      <c r="C43" s="180"/>
      <c r="D43" s="174" t="s">
        <v>169</v>
      </c>
      <c r="E43" s="175" t="str">
        <f>calculations!D213</f>
        <v/>
      </c>
      <c r="F43" s="64"/>
      <c r="G43" s="64"/>
      <c r="H43" s="64"/>
      <c r="I43" s="64"/>
      <c r="J43" s="64"/>
      <c r="K43" s="64"/>
      <c r="L43" s="64"/>
      <c r="M43" s="64"/>
    </row>
    <row r="44" spans="2:14" ht="25" customHeight="1" x14ac:dyDescent="0.2">
      <c r="B44" s="64"/>
      <c r="C44" s="92"/>
      <c r="D44" s="179" t="s">
        <v>72</v>
      </c>
      <c r="E44" s="181" t="str">
        <f>calculations!D214</f>
        <v/>
      </c>
      <c r="F44" s="64"/>
      <c r="G44" s="64"/>
      <c r="H44" s="64"/>
      <c r="I44" s="64"/>
      <c r="J44" s="64"/>
      <c r="K44" s="64"/>
      <c r="L44" s="64"/>
      <c r="M44" s="64"/>
    </row>
    <row r="45" spans="2:14" ht="25" customHeight="1" thickBot="1" x14ac:dyDescent="0.25">
      <c r="B45" s="64"/>
      <c r="C45" s="182"/>
      <c r="D45" s="183" t="s">
        <v>73</v>
      </c>
      <c r="E45" s="184" t="str">
        <f>calculations!D215</f>
        <v/>
      </c>
      <c r="F45" s="64"/>
      <c r="G45" s="64"/>
      <c r="H45" s="64"/>
      <c r="I45" s="64"/>
      <c r="J45" s="64"/>
      <c r="K45" s="64"/>
      <c r="L45" s="64"/>
      <c r="M45" s="64"/>
    </row>
    <row r="46" spans="2:14" ht="25" customHeight="1" thickTop="1" x14ac:dyDescent="0.2">
      <c r="B46" s="64"/>
      <c r="C46" s="64"/>
      <c r="D46" s="64"/>
      <c r="E46" s="64"/>
      <c r="F46" s="64"/>
      <c r="G46" s="64"/>
      <c r="H46" s="64"/>
      <c r="I46" s="64"/>
      <c r="J46" s="64"/>
      <c r="K46" s="64"/>
      <c r="L46" s="64"/>
      <c r="M46" s="64"/>
    </row>
    <row r="47" spans="2:14" ht="25" customHeight="1" x14ac:dyDescent="0.2">
      <c r="B47" s="64"/>
      <c r="C47" s="64"/>
      <c r="D47" s="64"/>
      <c r="E47" s="64"/>
      <c r="F47" s="64"/>
      <c r="G47" s="64"/>
      <c r="H47" s="64"/>
      <c r="I47" s="64"/>
      <c r="J47" s="64"/>
      <c r="K47" s="64"/>
      <c r="L47" s="64"/>
      <c r="M47" s="64"/>
    </row>
    <row r="48" spans="2:14" ht="25" customHeight="1" x14ac:dyDescent="0.2">
      <c r="B48" s="64"/>
      <c r="C48" s="64"/>
      <c r="D48" s="64"/>
      <c r="E48" s="64"/>
      <c r="F48" s="64"/>
      <c r="G48" s="64"/>
      <c r="H48" s="64"/>
      <c r="I48" s="64"/>
      <c r="J48" s="64"/>
      <c r="K48" s="64"/>
      <c r="L48" s="64"/>
      <c r="M48" s="64"/>
    </row>
  </sheetData>
  <mergeCells count="6">
    <mergeCell ref="C37:E37"/>
    <mergeCell ref="B1:M1"/>
    <mergeCell ref="C3:E3"/>
    <mergeCell ref="C15:E15"/>
    <mergeCell ref="C18:D18"/>
    <mergeCell ref="C31:L31"/>
  </mergeCells>
  <pageMargins left="0.7" right="0.7" top="0.75" bottom="0.75" header="0.3" footer="0.3"/>
  <pageSetup scale="35" orientation="portrait" r:id="rId1"/>
  <ignoredErrors>
    <ignoredError sqref="F32:L34 E38:E45 E32:E34" unlockedFormula="1"/>
    <ignoredError sqref="C19:C29 C4:C10" numberStoredAsText="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calculations!$U$5:$U$9</xm:f>
          </x14:formula1>
          <xm:sqref>E29:L29</xm:sqref>
        </x14:dataValidation>
        <x14:dataValidation type="list" allowBlank="1" showInputMessage="1" showErrorMessage="1" xr:uid="{00000000-0002-0000-0600-000001000000}">
          <x14:formula1>
            <xm:f>calculations!$S$5:$S$9</xm:f>
          </x14:formula1>
          <xm:sqref>E5:E8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3:V215"/>
  <sheetViews>
    <sheetView topLeftCell="D77" workbookViewId="0">
      <selection activeCell="H32" sqref="H32"/>
    </sheetView>
  </sheetViews>
  <sheetFormatPr baseColWidth="10" defaultColWidth="11" defaultRowHeight="16" x14ac:dyDescent="0.2"/>
  <cols>
    <col min="2" max="2" width="5.5" customWidth="1"/>
    <col min="3" max="3" width="44.83203125" customWidth="1"/>
    <col min="4" max="11" width="11.5" bestFit="1" customWidth="1"/>
    <col min="18" max="19" width="14.1640625" customWidth="1"/>
  </cols>
  <sheetData>
    <row r="3" spans="2:21" s="5" customFormat="1" x14ac:dyDescent="0.2"/>
    <row r="4" spans="2:21" x14ac:dyDescent="0.2">
      <c r="B4" t="s">
        <v>57</v>
      </c>
      <c r="S4" t="s">
        <v>112</v>
      </c>
      <c r="U4" t="s">
        <v>106</v>
      </c>
    </row>
    <row r="5" spans="2:21" x14ac:dyDescent="0.2">
      <c r="N5" t="s">
        <v>67</v>
      </c>
      <c r="O5" t="s">
        <v>68</v>
      </c>
      <c r="P5" t="s">
        <v>69</v>
      </c>
      <c r="S5" t="s">
        <v>80</v>
      </c>
      <c r="U5" t="s">
        <v>108</v>
      </c>
    </row>
    <row r="6" spans="2:21" x14ac:dyDescent="0.2">
      <c r="C6" t="str">
        <f>'Week 1'!C3</f>
        <v>Sleep Diary Entry for Week 1</v>
      </c>
      <c r="D6" t="str">
        <f>'Week 1'!E3</f>
        <v>Sample</v>
      </c>
      <c r="E6" t="str">
        <f>'Week 1'!F3</f>
        <v>Day 1</v>
      </c>
      <c r="F6" t="str">
        <f>'Week 1'!G3</f>
        <v>Day 2</v>
      </c>
      <c r="G6" t="str">
        <f>'Week 1'!H3</f>
        <v>Day 3</v>
      </c>
      <c r="H6" t="str">
        <f>'Week 1'!I3</f>
        <v>Day 4</v>
      </c>
      <c r="I6" t="str">
        <f>'Week 1'!J3</f>
        <v>Day 5</v>
      </c>
      <c r="J6" t="str">
        <f>'Week 1'!K3</f>
        <v>Day 6</v>
      </c>
      <c r="K6" t="str">
        <f>'Week 1'!L3</f>
        <v>Day 7</v>
      </c>
      <c r="L6" t="s">
        <v>66</v>
      </c>
      <c r="S6" t="s">
        <v>81</v>
      </c>
      <c r="U6" t="s">
        <v>107</v>
      </c>
    </row>
    <row r="7" spans="2:21" x14ac:dyDescent="0.2">
      <c r="B7" s="12" t="str">
        <f>'Week 1'!C4</f>
        <v>1.</v>
      </c>
      <c r="C7" t="str">
        <f>'Week 1'!D4</f>
        <v>Date</v>
      </c>
      <c r="D7" s="10">
        <f>'Week 1'!E4</f>
        <v>40544</v>
      </c>
      <c r="E7" s="10">
        <f>'Week 1'!F4</f>
        <v>39405</v>
      </c>
      <c r="F7" s="10">
        <f>'Week 1'!G4</f>
        <v>0</v>
      </c>
      <c r="G7" s="10">
        <f>'Week 1'!H4</f>
        <v>0</v>
      </c>
      <c r="H7" s="10">
        <f>'Week 1'!I4</f>
        <v>0</v>
      </c>
      <c r="I7" s="10">
        <f>'Week 1'!J4</f>
        <v>0</v>
      </c>
      <c r="J7" s="10">
        <f>'Week 1'!K4</f>
        <v>0</v>
      </c>
      <c r="K7" s="10">
        <f>'Week 1'!L4</f>
        <v>0</v>
      </c>
      <c r="M7">
        <f>SUMPRODUCT(--(LEN(E7:K7)&gt;1))</f>
        <v>1</v>
      </c>
      <c r="N7" t="str">
        <f>IF(M7&lt;5,"",IF(D5=5,"Medium",IF(D5="M","Medium","Large")))</f>
        <v/>
      </c>
      <c r="O7" s="44" t="str">
        <f>D30</f>
        <v/>
      </c>
      <c r="S7" t="s">
        <v>82</v>
      </c>
      <c r="U7" t="s">
        <v>109</v>
      </c>
    </row>
    <row r="8" spans="2:21" x14ac:dyDescent="0.2">
      <c r="B8" s="12" t="str">
        <f>'Week 1'!C5</f>
        <v>2.</v>
      </c>
      <c r="C8" t="str">
        <f>'Week 1'!D5</f>
        <v>How long did you nap or doze yesterday (in minutes)?</v>
      </c>
      <c r="D8">
        <f>'Week 1'!E5</f>
        <v>30</v>
      </c>
      <c r="E8" s="44">
        <f>'Week 1'!F5</f>
        <v>0</v>
      </c>
      <c r="F8">
        <f>'Week 1'!G5</f>
        <v>0</v>
      </c>
      <c r="G8">
        <f>'Week 1'!H5</f>
        <v>0</v>
      </c>
      <c r="H8">
        <f>'Week 1'!I5</f>
        <v>0</v>
      </c>
      <c r="I8">
        <f>'Week 1'!J5</f>
        <v>0</v>
      </c>
      <c r="J8">
        <f>'Week 1'!K5</f>
        <v>0</v>
      </c>
      <c r="K8">
        <f>'Week 1'!L5</f>
        <v>0</v>
      </c>
      <c r="L8">
        <f>SUM(E8:K8)/M7</f>
        <v>0</v>
      </c>
      <c r="N8">
        <f t="shared" ref="N8" si="0">SUM(E8:I8)/5</f>
        <v>0</v>
      </c>
      <c r="O8">
        <f t="shared" ref="O8" si="1">SUM(E8:J8)/6</f>
        <v>0</v>
      </c>
      <c r="P8">
        <f t="shared" ref="P8" si="2">SUM(E8:K8)/7</f>
        <v>0</v>
      </c>
      <c r="S8" t="s">
        <v>83</v>
      </c>
      <c r="U8" t="s">
        <v>110</v>
      </c>
    </row>
    <row r="9" spans="2:21" x14ac:dyDescent="0.2">
      <c r="B9" s="12" t="str">
        <f>'Week 1'!C6</f>
        <v>3.</v>
      </c>
      <c r="C9" t="str">
        <f>'Week 1'!D6</f>
        <v>What time did you get into bed yesterday?</v>
      </c>
      <c r="D9" s="11">
        <f>'Week 1'!E6</f>
        <v>0.97916666666666663</v>
      </c>
      <c r="E9" s="11">
        <f>'Week 1'!F6</f>
        <v>0.97916666666666663</v>
      </c>
      <c r="F9" s="11">
        <f>'Week 1'!G6</f>
        <v>0</v>
      </c>
      <c r="G9" s="11">
        <f>'Week 1'!H6</f>
        <v>0</v>
      </c>
      <c r="H9" s="11">
        <f>'Week 1'!I6</f>
        <v>0</v>
      </c>
      <c r="I9" s="11">
        <f>'Week 1'!J6</f>
        <v>0</v>
      </c>
      <c r="J9" s="11">
        <f>'Week 1'!K6</f>
        <v>0</v>
      </c>
      <c r="K9" s="11">
        <f>'Week 1'!L6</f>
        <v>0</v>
      </c>
      <c r="L9" t="str">
        <f>IFERROR(TEXT(IF(L18&lt;0,24+L18,L18)/24,"h:mm"),"")</f>
        <v>23:30</v>
      </c>
      <c r="N9" t="str">
        <f t="shared" ref="N9:P10" si="3">IFERROR(TEXT(IF(N18&lt;0,24+N18,N18)/24,"h:mm"),"")</f>
        <v>23:54</v>
      </c>
      <c r="O9" t="str">
        <f t="shared" si="3"/>
        <v>23:55</v>
      </c>
      <c r="P9" t="str">
        <f t="shared" si="3"/>
        <v>23:55</v>
      </c>
      <c r="S9" t="s">
        <v>84</v>
      </c>
      <c r="U9" t="s">
        <v>111</v>
      </c>
    </row>
    <row r="10" spans="2:21" x14ac:dyDescent="0.2">
      <c r="B10" s="12" t="str">
        <f>'Week 1'!C7</f>
        <v>4.</v>
      </c>
      <c r="C10" t="str">
        <f>'Week 1'!D7</f>
        <v>What time did you try to go to sleep?</v>
      </c>
      <c r="D10" s="11">
        <f>'Week 1'!E7</f>
        <v>0.98958333333333337</v>
      </c>
      <c r="E10" s="11">
        <f>'Week 1'!F7</f>
        <v>0.97916666666666663</v>
      </c>
      <c r="F10" s="11">
        <f>'Week 1'!G7</f>
        <v>0</v>
      </c>
      <c r="G10" s="11">
        <f>'Week 1'!H7</f>
        <v>0</v>
      </c>
      <c r="H10" s="11">
        <f>'Week 1'!I7</f>
        <v>0</v>
      </c>
      <c r="I10" s="11">
        <f>'Week 1'!J7</f>
        <v>0</v>
      </c>
      <c r="J10" s="11">
        <f>'Week 1'!K7</f>
        <v>0</v>
      </c>
      <c r="K10" s="11">
        <f>'Week 1'!L7</f>
        <v>0</v>
      </c>
      <c r="L10" t="str">
        <f t="shared" ref="L10" si="4">IFERROR(TEXT(IF(L17&lt;0,24+L17,L17)/24,"h:mm"),"")</f>
        <v>0:00</v>
      </c>
      <c r="N10" t="str">
        <f t="shared" si="3"/>
        <v>23:54</v>
      </c>
      <c r="O10" t="str">
        <f t="shared" si="3"/>
        <v>23:55</v>
      </c>
      <c r="P10" t="str">
        <f t="shared" si="3"/>
        <v>23:55</v>
      </c>
    </row>
    <row r="11" spans="2:21" x14ac:dyDescent="0.2">
      <c r="B11" s="12" t="str">
        <f>'Week 1'!C8</f>
        <v>5.</v>
      </c>
      <c r="C11" t="str">
        <f>'Week 1'!D8</f>
        <v>How long did it actually take you to fall asleep (in minutes)?</v>
      </c>
      <c r="D11">
        <f>'Week 1'!E8</f>
        <v>30</v>
      </c>
      <c r="E11">
        <f>'Week 1'!F8</f>
        <v>2</v>
      </c>
      <c r="F11">
        <f>'Week 1'!G8</f>
        <v>0</v>
      </c>
      <c r="G11">
        <f>'Week 1'!H8</f>
        <v>0</v>
      </c>
      <c r="H11">
        <f>'Week 1'!I8</f>
        <v>0</v>
      </c>
      <c r="I11">
        <f>'Week 1'!J8</f>
        <v>0</v>
      </c>
      <c r="J11">
        <f>'Week 1'!K8</f>
        <v>0</v>
      </c>
      <c r="K11">
        <f>'Week 1'!L8</f>
        <v>0</v>
      </c>
      <c r="L11">
        <f>IFERROR(AVERAGE(E9:K9),"")</f>
        <v>0.13988095238095238</v>
      </c>
      <c r="N11">
        <f>SUM(E11:I11)/5</f>
        <v>0.4</v>
      </c>
      <c r="O11">
        <f>SUM(E11:J11)/6</f>
        <v>0.33333333333333331</v>
      </c>
      <c r="P11">
        <f>SUM(E11:K11)/7</f>
        <v>0.2857142857142857</v>
      </c>
    </row>
    <row r="12" spans="2:21" x14ac:dyDescent="0.2">
      <c r="B12" s="12" t="str">
        <f>'Week 1'!C9</f>
        <v>6.</v>
      </c>
      <c r="C12" t="str">
        <f>'Week 1'!D9</f>
        <v>How many times did you wake up during the night?</v>
      </c>
      <c r="D12">
        <f>'Week 1'!E9</f>
        <v>2</v>
      </c>
      <c r="E12">
        <f>'Week 1'!F9</f>
        <v>5</v>
      </c>
      <c r="F12">
        <f>'Week 1'!G9</f>
        <v>0</v>
      </c>
      <c r="G12">
        <f>'Week 1'!H9</f>
        <v>0</v>
      </c>
      <c r="H12">
        <f>'Week 1'!I9</f>
        <v>0</v>
      </c>
      <c r="I12">
        <f>'Week 1'!J9</f>
        <v>0</v>
      </c>
      <c r="J12">
        <f>'Week 1'!K9</f>
        <v>0</v>
      </c>
      <c r="K12">
        <f>'Week 1'!L9</f>
        <v>0</v>
      </c>
      <c r="L12">
        <f>IFERROR(AVERAGE(E10:K10),"")</f>
        <v>0.13988095238095238</v>
      </c>
      <c r="N12">
        <f t="shared" ref="N12:N13" si="5">SUM(E12:I12)/5</f>
        <v>1</v>
      </c>
      <c r="O12">
        <f t="shared" ref="O12:O13" si="6">SUM(E12:J12)/6</f>
        <v>0.83333333333333337</v>
      </c>
      <c r="P12">
        <f t="shared" ref="P12:P13" si="7">SUM(E12:K12)/7</f>
        <v>0.7142857142857143</v>
      </c>
    </row>
    <row r="13" spans="2:21" x14ac:dyDescent="0.2">
      <c r="B13" s="12" t="str">
        <f>'Week 1'!C10</f>
        <v>7.</v>
      </c>
      <c r="C13" t="str">
        <f>'Week 1'!D10</f>
        <v>In total, how long did these awakening last (in minutes)?</v>
      </c>
      <c r="D13">
        <f>'Week 1'!E10</f>
        <v>60</v>
      </c>
      <c r="E13">
        <f>'Week 1'!F10</f>
        <v>0</v>
      </c>
      <c r="F13">
        <f>'Week 1'!G10</f>
        <v>0</v>
      </c>
      <c r="G13">
        <f>'Week 1'!H10</f>
        <v>0</v>
      </c>
      <c r="H13">
        <f>'Week 1'!I10</f>
        <v>0</v>
      </c>
      <c r="I13">
        <f>'Week 1'!J10</f>
        <v>0</v>
      </c>
      <c r="J13">
        <f>'Week 1'!K10</f>
        <v>0</v>
      </c>
      <c r="K13">
        <f>'Week 1'!L10</f>
        <v>0</v>
      </c>
      <c r="N13">
        <f t="shared" si="5"/>
        <v>0</v>
      </c>
      <c r="O13">
        <f t="shared" si="6"/>
        <v>0</v>
      </c>
      <c r="P13">
        <f t="shared" si="7"/>
        <v>0</v>
      </c>
    </row>
    <row r="14" spans="2:21" x14ac:dyDescent="0.2">
      <c r="B14" s="12" t="str">
        <f>'Week 1'!C11</f>
        <v>8.</v>
      </c>
      <c r="C14" t="str">
        <f>'Week 1'!D11</f>
        <v>What time was your final awakening?</v>
      </c>
      <c r="D14" s="11">
        <f>'Week 1'!E11</f>
        <v>0.29166666666666669</v>
      </c>
      <c r="E14" s="11">
        <f>'Week 1'!F11</f>
        <v>0.27083333333333331</v>
      </c>
      <c r="F14" s="11">
        <f>'Week 1'!G11</f>
        <v>0</v>
      </c>
      <c r="G14" s="11">
        <f>'Week 1'!H11</f>
        <v>0</v>
      </c>
      <c r="H14" s="11">
        <f>'Week 1'!I11</f>
        <v>0</v>
      </c>
      <c r="I14" s="11">
        <f>'Week 1'!J11</f>
        <v>0</v>
      </c>
      <c r="J14" s="11">
        <f>'Week 1'!K11</f>
        <v>0</v>
      </c>
      <c r="K14" s="11">
        <f>'Week 1'!L11</f>
        <v>0</v>
      </c>
      <c r="L14" t="str">
        <f>IFERROR(TEXT(IF(L19&lt;0,24+L19,L19)/24,"h:mm"),"")</f>
        <v>23:30</v>
      </c>
      <c r="N14" t="str">
        <f>IFERROR(TEXT(IF(N20&lt;0,24+N20,N20)/24,"h:mm"),"")</f>
        <v>1:18</v>
      </c>
      <c r="O14" t="str">
        <f t="shared" ref="O14:P15" si="8">IFERROR(TEXT(IF(O20&lt;0,24+O20,O20)/24,"h:mm"),"")</f>
        <v>1:05</v>
      </c>
      <c r="P14" t="str">
        <f t="shared" si="8"/>
        <v>0:55</v>
      </c>
    </row>
    <row r="15" spans="2:21" x14ac:dyDescent="0.2">
      <c r="B15" s="12" t="str">
        <f>'Week 1'!C12</f>
        <v>9.</v>
      </c>
      <c r="C15" t="str">
        <f>'Week 1'!D12</f>
        <v>When did you get out of bed to start your day?</v>
      </c>
      <c r="D15" s="11">
        <f>'Week 1'!E12</f>
        <v>0.33333333333333331</v>
      </c>
      <c r="E15" s="11">
        <f>'Week 1'!F12</f>
        <v>6.3</v>
      </c>
      <c r="F15" s="11">
        <f>'Week 1'!G12</f>
        <v>0</v>
      </c>
      <c r="G15" s="11">
        <f>'Week 1'!H12</f>
        <v>0</v>
      </c>
      <c r="H15" s="11">
        <f>'Week 1'!I12</f>
        <v>0</v>
      </c>
      <c r="I15" s="11">
        <f>'Week 1'!J12</f>
        <v>0</v>
      </c>
      <c r="J15" s="11">
        <f>'Week 1'!K12</f>
        <v>0</v>
      </c>
      <c r="K15" s="11">
        <f>'Week 1'!L12</f>
        <v>0</v>
      </c>
      <c r="L15" t="str">
        <f>IFERROR(TEXT(IF(L23&lt;0,24+L23,L23)/24,"h:mm"),"")</f>
        <v>6:58</v>
      </c>
      <c r="N15" t="str">
        <f>IFERROR(TEXT(IF(N21&lt;0,24+N21,N21)/24,"h:mm"),"")</f>
        <v>1:26</v>
      </c>
      <c r="O15" t="str">
        <f t="shared" si="8"/>
        <v>1:12</v>
      </c>
      <c r="P15" t="str">
        <f t="shared" si="8"/>
        <v>1:01</v>
      </c>
    </row>
    <row r="16" spans="2:21" x14ac:dyDescent="0.2">
      <c r="B16" s="12" t="str">
        <f>'Week 1'!C14</f>
        <v>11.</v>
      </c>
      <c r="C16" t="str">
        <f>'Week 1'!D14</f>
        <v>How would you rate the quality of your sleep?</v>
      </c>
      <c r="D16" t="str">
        <f>'Week 1'!E14</f>
        <v>Fair</v>
      </c>
      <c r="E16" t="str">
        <f>'Week 1'!F14</f>
        <v>Fair</v>
      </c>
      <c r="F16">
        <f>'Week 1'!G14</f>
        <v>0</v>
      </c>
      <c r="G16">
        <f>'Week 1'!H14</f>
        <v>0</v>
      </c>
      <c r="H16">
        <f>'Week 1'!I14</f>
        <v>0</v>
      </c>
      <c r="I16">
        <f>'Week 1'!J14</f>
        <v>0</v>
      </c>
      <c r="J16">
        <f>'Week 1'!K14</f>
        <v>0</v>
      </c>
      <c r="K16">
        <f>'Week 1'!L14</f>
        <v>0</v>
      </c>
      <c r="N16">
        <f>SUM(E16:I16)/5</f>
        <v>0</v>
      </c>
      <c r="O16">
        <f t="shared" ref="O16" si="9">SUM(E16:J16)/6</f>
        <v>0</v>
      </c>
      <c r="P16">
        <f t="shared" ref="P16" si="10">SUM(E16:K16)/7</f>
        <v>0</v>
      </c>
    </row>
    <row r="18" spans="2:16" x14ac:dyDescent="0.2">
      <c r="C18" s="13"/>
      <c r="D18" s="14">
        <f>IF(ISBLANK(D9),"",IF(HOUR(D9)&gt;12,HOUR(D9)+(MINUTE(D9)/60)-24,HOUR(D9)+(MINUTE(D9)/60)))</f>
        <v>-0.5</v>
      </c>
      <c r="E18" s="14">
        <f t="shared" ref="E18:K19" si="11">IF(ISBLANK(E9),"",IF(HOUR(E9)&gt;12,HOUR(E9)+(MINUTE(E9)/60)-24,HOUR(E9)+(MINUTE(E9)/60)))</f>
        <v>-0.5</v>
      </c>
      <c r="F18" s="14">
        <f t="shared" si="11"/>
        <v>0</v>
      </c>
      <c r="G18" s="14">
        <f t="shared" si="11"/>
        <v>0</v>
      </c>
      <c r="H18" s="14">
        <f t="shared" si="11"/>
        <v>0</v>
      </c>
      <c r="I18" s="14">
        <f t="shared" si="11"/>
        <v>0</v>
      </c>
      <c r="J18" s="14">
        <f t="shared" si="11"/>
        <v>0</v>
      </c>
      <c r="K18" s="14">
        <f t="shared" si="11"/>
        <v>0</v>
      </c>
      <c r="L18">
        <f>SUM(E18:K18)/$M$7</f>
        <v>-0.5</v>
      </c>
      <c r="N18">
        <f>SUM(E18:I18)/5</f>
        <v>-0.1</v>
      </c>
      <c r="O18">
        <f>SUM(E18:J18)/6</f>
        <v>-8.3333333333333329E-2</v>
      </c>
      <c r="P18">
        <f>SUM(E18:K18)/7</f>
        <v>-7.1428571428571425E-2</v>
      </c>
    </row>
    <row r="19" spans="2:16" x14ac:dyDescent="0.2">
      <c r="C19" s="13"/>
      <c r="D19" s="14">
        <f>IF(ISBLANK(D10),"",IF(HOUR(D10)&gt;12,HOUR(D10)+(MINUTE(D10)/60)-24,HOUR(D10)+(MINUTE(D10)/60)))</f>
        <v>-0.25</v>
      </c>
      <c r="E19" s="14">
        <f t="shared" si="11"/>
        <v>-0.5</v>
      </c>
      <c r="F19" s="14">
        <f t="shared" si="11"/>
        <v>0</v>
      </c>
      <c r="G19" s="14">
        <f t="shared" si="11"/>
        <v>0</v>
      </c>
      <c r="H19" s="14">
        <f t="shared" si="11"/>
        <v>0</v>
      </c>
      <c r="I19" s="14">
        <f t="shared" si="11"/>
        <v>0</v>
      </c>
      <c r="J19" s="14">
        <f t="shared" si="11"/>
        <v>0</v>
      </c>
      <c r="K19" s="14">
        <f t="shared" si="11"/>
        <v>0</v>
      </c>
      <c r="L19">
        <f t="shared" ref="L19:L23" si="12">SUM(E19:K19)/$M$7</f>
        <v>-0.5</v>
      </c>
      <c r="N19">
        <f>SUM(E19:I19)/5</f>
        <v>-0.1</v>
      </c>
      <c r="O19">
        <f>SUM(E19:J19)/6</f>
        <v>-8.3333333333333329E-2</v>
      </c>
      <c r="P19">
        <f>SUM(E19:K19)/7</f>
        <v>-7.1428571428571425E-2</v>
      </c>
    </row>
    <row r="20" spans="2:16" x14ac:dyDescent="0.2">
      <c r="C20" s="13"/>
      <c r="D20" s="14">
        <f>IF(ISBLANK(D14),"",HOUR(D14)+(MINUTE(D14)/60))</f>
        <v>7</v>
      </c>
      <c r="E20" s="14">
        <f t="shared" ref="E20:K21" si="13">IF(ISBLANK(E14),"",HOUR(E14)+(MINUTE(E14)/60))</f>
        <v>6.5</v>
      </c>
      <c r="F20" s="14">
        <f t="shared" si="13"/>
        <v>0</v>
      </c>
      <c r="G20" s="14">
        <f t="shared" si="13"/>
        <v>0</v>
      </c>
      <c r="H20" s="14">
        <f t="shared" si="13"/>
        <v>0</v>
      </c>
      <c r="I20" s="14">
        <f t="shared" si="13"/>
        <v>0</v>
      </c>
      <c r="J20" s="14">
        <f t="shared" si="13"/>
        <v>0</v>
      </c>
      <c r="K20" s="14">
        <f t="shared" si="13"/>
        <v>0</v>
      </c>
      <c r="L20">
        <f t="shared" si="12"/>
        <v>6.5</v>
      </c>
      <c r="N20">
        <f>SUM(E20:I20)/5</f>
        <v>1.3</v>
      </c>
      <c r="O20">
        <f>SUM(E20:J20)/6</f>
        <v>1.0833333333333333</v>
      </c>
      <c r="P20">
        <f>SUM(E20:K20)/7</f>
        <v>0.9285714285714286</v>
      </c>
    </row>
    <row r="21" spans="2:16" x14ac:dyDescent="0.2">
      <c r="C21" s="13"/>
      <c r="D21" s="14">
        <f>IF(ISBLANK(D15),"",HOUR(D15)+(MINUTE(D15)/60))</f>
        <v>8</v>
      </c>
      <c r="E21" s="14">
        <f t="shared" si="13"/>
        <v>7.2</v>
      </c>
      <c r="F21" s="14">
        <f t="shared" si="13"/>
        <v>0</v>
      </c>
      <c r="G21" s="14">
        <f t="shared" si="13"/>
        <v>0</v>
      </c>
      <c r="H21" s="14">
        <f t="shared" si="13"/>
        <v>0</v>
      </c>
      <c r="I21" s="14">
        <f t="shared" si="13"/>
        <v>0</v>
      </c>
      <c r="J21" s="14">
        <f t="shared" si="13"/>
        <v>0</v>
      </c>
      <c r="K21" s="14">
        <f t="shared" si="13"/>
        <v>0</v>
      </c>
      <c r="L21">
        <f t="shared" si="12"/>
        <v>7.2</v>
      </c>
      <c r="N21">
        <f>SUM(E21:I21)/5</f>
        <v>1.44</v>
      </c>
      <c r="O21">
        <f>SUM(E21:J21)/6</f>
        <v>1.2</v>
      </c>
      <c r="P21">
        <f>SUM(E21:K21)/7</f>
        <v>1.0285714285714287</v>
      </c>
    </row>
    <row r="22" spans="2:16" x14ac:dyDescent="0.2">
      <c r="C22" s="13"/>
      <c r="D22" s="14">
        <f>IF(ISBLANK(D10),"", IF(ISBLANK(D15),"",24*IF(D10&gt;D15,D15+1-D10,D15-D10)))</f>
        <v>8.2499999999999964</v>
      </c>
      <c r="E22" s="14">
        <f t="shared" ref="E22:K22" si="14">IF(ISBLANK(E10),"", IF(ISBLANK(E15),"",24*IF(E10&gt;E15,E15+1-E10,E15-E10)))</f>
        <v>127.69999999999999</v>
      </c>
      <c r="F22" s="14">
        <f t="shared" si="14"/>
        <v>0</v>
      </c>
      <c r="G22" s="14">
        <f t="shared" si="14"/>
        <v>0</v>
      </c>
      <c r="H22" s="14">
        <f t="shared" si="14"/>
        <v>0</v>
      </c>
      <c r="I22" s="14">
        <f t="shared" si="14"/>
        <v>0</v>
      </c>
      <c r="J22" s="14">
        <f t="shared" si="14"/>
        <v>0</v>
      </c>
      <c r="K22" s="14">
        <f t="shared" si="14"/>
        <v>0</v>
      </c>
      <c r="L22">
        <f t="shared" si="12"/>
        <v>127.69999999999999</v>
      </c>
    </row>
    <row r="23" spans="2:16" x14ac:dyDescent="0.2">
      <c r="C23" s="13"/>
      <c r="D23" s="14">
        <f>IF(ISBLANK(D24),"",(IF(ISBLANK(D11),"",IF(ISBLANK(D13),"",D22-((D11+D13)/60)-(D21-D20)))))</f>
        <v>5.7499999999999964</v>
      </c>
      <c r="E23" s="14">
        <f t="shared" ref="E23:K23" si="15">IF(ISBLANK(E24),"",(IF(ISBLANK(E11),"",IF(ISBLANK(E13),"",E22-((E11+E13)/60)-(E21-E20)))))</f>
        <v>126.96666666666665</v>
      </c>
      <c r="F23" s="14">
        <f t="shared" si="15"/>
        <v>0</v>
      </c>
      <c r="G23" s="14">
        <f t="shared" si="15"/>
        <v>0</v>
      </c>
      <c r="H23" s="14">
        <f t="shared" si="15"/>
        <v>0</v>
      </c>
      <c r="I23" s="14">
        <f t="shared" si="15"/>
        <v>0</v>
      </c>
      <c r="J23" s="14">
        <f t="shared" si="15"/>
        <v>0</v>
      </c>
      <c r="K23" s="14">
        <f t="shared" si="15"/>
        <v>0</v>
      </c>
      <c r="L23">
        <f t="shared" si="12"/>
        <v>126.96666666666665</v>
      </c>
    </row>
    <row r="24" spans="2:16" x14ac:dyDescent="0.2">
      <c r="C24" s="15" t="s">
        <v>27</v>
      </c>
      <c r="D24" s="38">
        <f>IF(ISBLANK(D10),"", IF(ISBLANK(D15),"",IF(D10&gt;D15,D15+1-D10,D15-D10)))</f>
        <v>0.34374999999999989</v>
      </c>
      <c r="E24" s="38">
        <f>IF(ISBLANK(E10),"", IF(ISBLANK(E15),"",IF(E10&gt;E15,E15+1-E10,E15-E10)))</f>
        <v>5.3208333333333329</v>
      </c>
      <c r="F24" s="38">
        <f t="shared" ref="F24:K24" si="16">IF(ISBLANK(F10),"", IF(ISBLANK(F15),"",IF(F10&gt;F15,F15+1-F10,F15-F10)))</f>
        <v>0</v>
      </c>
      <c r="G24" s="38">
        <f t="shared" si="16"/>
        <v>0</v>
      </c>
      <c r="H24" s="38">
        <f t="shared" si="16"/>
        <v>0</v>
      </c>
      <c r="I24" s="38">
        <f t="shared" si="16"/>
        <v>0</v>
      </c>
      <c r="J24" s="38">
        <f t="shared" si="16"/>
        <v>0</v>
      </c>
      <c r="K24" s="38">
        <f t="shared" si="16"/>
        <v>0</v>
      </c>
      <c r="N24" s="42">
        <f t="shared" ref="N24:N25" si="17">SUM(E24:I24)/5</f>
        <v>1.0641666666666665</v>
      </c>
      <c r="O24" s="42">
        <f t="shared" ref="O24:O25" si="18">SUM(E24:J24)/6</f>
        <v>0.88680555555555551</v>
      </c>
      <c r="P24" s="42">
        <f t="shared" ref="P24:P25" si="19">SUM(E24:K24)/7</f>
        <v>0.76011904761904758</v>
      </c>
    </row>
    <row r="25" spans="2:16" x14ac:dyDescent="0.2">
      <c r="C25" s="15" t="s">
        <v>28</v>
      </c>
      <c r="D25" s="38">
        <f>D23/24</f>
        <v>0.23958333333333318</v>
      </c>
      <c r="E25" s="38">
        <f t="shared" ref="E25:K25" si="20">E23/24</f>
        <v>5.290277777777777</v>
      </c>
      <c r="F25" s="38">
        <f t="shared" si="20"/>
        <v>0</v>
      </c>
      <c r="G25" s="38">
        <f t="shared" si="20"/>
        <v>0</v>
      </c>
      <c r="H25" s="38">
        <f t="shared" si="20"/>
        <v>0</v>
      </c>
      <c r="I25" s="38">
        <f t="shared" si="20"/>
        <v>0</v>
      </c>
      <c r="J25" s="38">
        <f t="shared" si="20"/>
        <v>0</v>
      </c>
      <c r="K25" s="38">
        <f t="shared" si="20"/>
        <v>0</v>
      </c>
      <c r="N25" s="42">
        <f t="shared" si="17"/>
        <v>1.0580555555555553</v>
      </c>
      <c r="O25" s="42">
        <f t="shared" si="18"/>
        <v>0.88171296296296287</v>
      </c>
      <c r="P25" s="42">
        <f t="shared" si="19"/>
        <v>0.75575396825396812</v>
      </c>
    </row>
    <row r="26" spans="2:16" x14ac:dyDescent="0.2">
      <c r="C26" s="15" t="s">
        <v>29</v>
      </c>
      <c r="D26" s="16">
        <f>IF(ISERROR(D25/D24),"",IF(ISBLANK(D25),"",D25/D24))</f>
        <v>0.69696969696969668</v>
      </c>
      <c r="E26" s="16">
        <f t="shared" ref="E26:K26" si="21">IF(ISERROR(E25/E24),"",IF(ISBLANK(E25),"",E25/E24))</f>
        <v>0.99425737405377179</v>
      </c>
      <c r="F26" s="16" t="str">
        <f t="shared" si="21"/>
        <v/>
      </c>
      <c r="G26" s="16" t="str">
        <f t="shared" si="21"/>
        <v/>
      </c>
      <c r="H26" s="16" t="str">
        <f t="shared" si="21"/>
        <v/>
      </c>
      <c r="I26" s="16" t="str">
        <f t="shared" si="21"/>
        <v/>
      </c>
      <c r="J26" s="16" t="str">
        <f t="shared" si="21"/>
        <v/>
      </c>
      <c r="K26" s="16" t="str">
        <f t="shared" si="21"/>
        <v/>
      </c>
      <c r="N26" s="41">
        <f t="shared" ref="N26" si="22">SUM(E26:I26)/5</f>
        <v>0.19885147481075435</v>
      </c>
      <c r="O26" s="41">
        <f t="shared" ref="O26" si="23">SUM(E26:J26)/6</f>
        <v>0.16570956234229531</v>
      </c>
      <c r="P26" s="41">
        <f t="shared" ref="P26" si="24">SUM(E26:K26)/7</f>
        <v>0.14203676772196741</v>
      </c>
    </row>
    <row r="29" spans="2:16" x14ac:dyDescent="0.2">
      <c r="B29" s="238" t="s">
        <v>59</v>
      </c>
      <c r="C29" s="238"/>
      <c r="D29" s="238"/>
      <c r="G29" t="s">
        <v>70</v>
      </c>
      <c r="H29" s="48">
        <v>0.85</v>
      </c>
    </row>
    <row r="30" spans="2:16" x14ac:dyDescent="0.2">
      <c r="B30" s="43"/>
      <c r="C30" s="43" t="s">
        <v>65</v>
      </c>
      <c r="D30" s="44" t="str">
        <f>IF($M$7&lt;5,"",IF($M$7=5,N8,IF($M$7=6,O8,P8)))</f>
        <v/>
      </c>
    </row>
    <row r="31" spans="2:16" x14ac:dyDescent="0.2">
      <c r="B31" s="43"/>
      <c r="C31" s="43" t="s">
        <v>60</v>
      </c>
      <c r="D31" s="44" t="str">
        <f>IF($M$7&lt;5,"",IF($M$7=5,N9,IF($M$7=6,O9,P9)))</f>
        <v/>
      </c>
    </row>
    <row r="32" spans="2:16" x14ac:dyDescent="0.2">
      <c r="B32" s="43"/>
      <c r="C32" s="43" t="s">
        <v>61</v>
      </c>
      <c r="D32" s="44" t="str">
        <f>IF($M$7&lt;5,"",IF($M$7=5,N10,IF($M$7=6,O10,P10)))</f>
        <v/>
      </c>
    </row>
    <row r="33" spans="2:22" x14ac:dyDescent="0.2">
      <c r="B33" s="45"/>
      <c r="C33" s="45" t="s">
        <v>62</v>
      </c>
      <c r="D33" s="44" t="str">
        <f>IF($M$7&lt;5,"",IF($M$7=5,N11,IF($M$7=6,O11,P11)))</f>
        <v/>
      </c>
    </row>
    <row r="34" spans="2:22" x14ac:dyDescent="0.2">
      <c r="B34" s="45"/>
      <c r="C34" s="45" t="s">
        <v>63</v>
      </c>
      <c r="D34" s="44" t="str">
        <f>IF($M$7&lt;5,"",IF($M$7=5,N14,IF($M$7=6,O14,P14)))</f>
        <v/>
      </c>
    </row>
    <row r="35" spans="2:22" x14ac:dyDescent="0.2">
      <c r="B35" s="43"/>
      <c r="C35" s="43" t="s">
        <v>64</v>
      </c>
      <c r="D35" s="44" t="str">
        <f>IF($M$7&lt;5,"",IF($M$7=5,N15,IF($M$7=6,O15,P15)))</f>
        <v/>
      </c>
    </row>
    <row r="36" spans="2:22" x14ac:dyDescent="0.2">
      <c r="C36" t="s">
        <v>72</v>
      </c>
      <c r="D36" s="49" t="str">
        <f>IF($M$7&lt;5,"",IF($M$7=5,N25,IF($M$7=6,O25,P25)))</f>
        <v/>
      </c>
    </row>
    <row r="37" spans="2:22" x14ac:dyDescent="0.2">
      <c r="C37" t="s">
        <v>73</v>
      </c>
      <c r="D37" s="50" t="str">
        <f>IF($M$7&lt;5,"",IF($M$7=5,N26,IF($M$7=6,O26,P26)))</f>
        <v/>
      </c>
    </row>
    <row r="38" spans="2:22" s="5" customFormat="1" x14ac:dyDescent="0.2"/>
    <row r="39" spans="2:22" x14ac:dyDescent="0.2">
      <c r="B39" t="s">
        <v>71</v>
      </c>
    </row>
    <row r="40" spans="2:22" x14ac:dyDescent="0.2">
      <c r="N40" t="s">
        <v>67</v>
      </c>
      <c r="O40" t="s">
        <v>68</v>
      </c>
      <c r="P40" t="s">
        <v>69</v>
      </c>
    </row>
    <row r="41" spans="2:22" x14ac:dyDescent="0.2">
      <c r="B41" t="str">
        <f>'Week 2'!C12</f>
        <v>Sleep Diary Entry for Week 2</v>
      </c>
      <c r="C41" t="str">
        <f>'Week 2'!D12</f>
        <v>Sleep Diary Entry for Week 2</v>
      </c>
      <c r="D41" t="str">
        <f>'Week 2'!E12</f>
        <v>Sample</v>
      </c>
      <c r="E41" t="str">
        <f>'Week 2'!F12</f>
        <v>Day 1</v>
      </c>
      <c r="F41" t="str">
        <f>'Week 2'!G12</f>
        <v>Day 2</v>
      </c>
      <c r="G41" t="str">
        <f>'Week 2'!H12</f>
        <v>Day 3</v>
      </c>
      <c r="H41" t="str">
        <f>'Week 2'!I12</f>
        <v>Day 4</v>
      </c>
      <c r="I41" t="str">
        <f>'Week 2'!J12</f>
        <v>Day 5</v>
      </c>
      <c r="J41" t="str">
        <f>'Week 2'!K12</f>
        <v>Day 6</v>
      </c>
      <c r="K41" t="str">
        <f>'Week 2'!L12</f>
        <v>Day 7</v>
      </c>
      <c r="L41">
        <f>'Week 2'!M12</f>
        <v>0</v>
      </c>
      <c r="R41" t="s">
        <v>119</v>
      </c>
      <c r="V41" s="60"/>
    </row>
    <row r="42" spans="2:22" x14ac:dyDescent="0.2">
      <c r="B42" t="str">
        <f>'Week 2'!C13</f>
        <v>1.</v>
      </c>
      <c r="C42" t="str">
        <f>'Week 2'!D13</f>
        <v>Date</v>
      </c>
      <c r="D42">
        <f>'Week 2'!E13</f>
        <v>41647</v>
      </c>
      <c r="E42">
        <f>'Week 2'!F13</f>
        <v>0</v>
      </c>
      <c r="F42">
        <f>'Week 2'!G13</f>
        <v>0</v>
      </c>
      <c r="G42">
        <f>'Week 2'!H13</f>
        <v>0</v>
      </c>
      <c r="H42">
        <f>'Week 2'!I13</f>
        <v>0</v>
      </c>
      <c r="I42">
        <f>'Week 2'!J13</f>
        <v>0</v>
      </c>
      <c r="J42">
        <f>'Week 2'!K13</f>
        <v>0</v>
      </c>
      <c r="K42">
        <f>'Week 2'!L13</f>
        <v>0</v>
      </c>
      <c r="L42">
        <f>'Week 2'!M13</f>
        <v>0</v>
      </c>
      <c r="M42">
        <f>SUMPRODUCT(--(LEN(E42:K42)&gt;1))</f>
        <v>0</v>
      </c>
      <c r="N42" t="str">
        <f>IF(M42&lt;5,"",IF(D40=5,"Medium",IF(D40="M","Medium","Large")))</f>
        <v/>
      </c>
      <c r="O42" s="44" t="str">
        <f>D65</f>
        <v/>
      </c>
      <c r="R42" t="s">
        <v>120</v>
      </c>
      <c r="S42" s="49">
        <f>'Week 2'!E4</f>
        <v>0.16666666666666666</v>
      </c>
    </row>
    <row r="43" spans="2:22" x14ac:dyDescent="0.2">
      <c r="B43" t="str">
        <f>'Week 2'!C14</f>
        <v>2.</v>
      </c>
      <c r="C43" t="str">
        <f>'Week 2'!D14</f>
        <v>How long did you nap or doze yesterday (in minutes)?</v>
      </c>
      <c r="D43">
        <f>'Week 2'!E14</f>
        <v>30</v>
      </c>
      <c r="E43">
        <f>'Week 2'!F14</f>
        <v>0</v>
      </c>
      <c r="F43">
        <f>'Week 2'!G14</f>
        <v>0</v>
      </c>
      <c r="G43">
        <f>'Week 2'!H14</f>
        <v>0</v>
      </c>
      <c r="H43">
        <f>'Week 2'!I14</f>
        <v>0</v>
      </c>
      <c r="I43">
        <f>'Week 2'!J14</f>
        <v>0</v>
      </c>
      <c r="J43">
        <f>'Week 2'!K14</f>
        <v>0</v>
      </c>
      <c r="K43">
        <f>'Week 2'!L14</f>
        <v>0</v>
      </c>
      <c r="L43">
        <f>'Week 2'!M14</f>
        <v>0</v>
      </c>
      <c r="N43">
        <f t="shared" ref="N43" si="25">SUM(E43:I43)/5</f>
        <v>0</v>
      </c>
      <c r="O43">
        <f t="shared" ref="O43" si="26">SUM(E43:J43)/6</f>
        <v>0</v>
      </c>
      <c r="P43">
        <f t="shared" ref="P43" si="27">SUM(E43:K43)/7</f>
        <v>0</v>
      </c>
      <c r="R43" t="s">
        <v>121</v>
      </c>
      <c r="S43" s="49" t="str">
        <f>D36</f>
        <v/>
      </c>
      <c r="T43" s="49" t="e">
        <f>IF(S43+TIME(0,30,0)&lt;0.229166666666667,0.229166666666667,S43+TIME(0,30,0))</f>
        <v>#VALUE!</v>
      </c>
    </row>
    <row r="44" spans="2:22" x14ac:dyDescent="0.2">
      <c r="B44" t="str">
        <f>'Week 2'!C15</f>
        <v>3.</v>
      </c>
      <c r="C44" t="str">
        <f>'Week 2'!D15</f>
        <v>What time did you get into bed yesterday?</v>
      </c>
      <c r="D44">
        <f>'Week 2'!E15</f>
        <v>0.97916666666666663</v>
      </c>
      <c r="E44">
        <f>'Week 2'!F15</f>
        <v>0</v>
      </c>
      <c r="F44">
        <f>'Week 2'!G15</f>
        <v>0</v>
      </c>
      <c r="G44">
        <f>'Week 2'!H15</f>
        <v>0</v>
      </c>
      <c r="H44">
        <f>'Week 2'!I15</f>
        <v>0</v>
      </c>
      <c r="I44">
        <f>'Week 2'!J15</f>
        <v>0</v>
      </c>
      <c r="J44">
        <f>'Week 2'!K15</f>
        <v>0</v>
      </c>
      <c r="K44">
        <f>'Week 2'!L15</f>
        <v>0</v>
      </c>
      <c r="L44">
        <f>'Week 2'!M15</f>
        <v>0</v>
      </c>
      <c r="N44" t="str">
        <f t="shared" ref="N44:P44" si="28">IFERROR(TEXT(IF(N53&lt;0,24+N53,N53)/24,"h:mm"),"")</f>
        <v>0:00</v>
      </c>
      <c r="O44" t="str">
        <f t="shared" si="28"/>
        <v>0:00</v>
      </c>
      <c r="P44" t="str">
        <f t="shared" si="28"/>
        <v>0:00</v>
      </c>
      <c r="R44" t="s">
        <v>122</v>
      </c>
      <c r="S44" s="49" t="e">
        <f>S42-T43</f>
        <v>#VALUE!</v>
      </c>
      <c r="T44">
        <v>1</v>
      </c>
    </row>
    <row r="45" spans="2:22" x14ac:dyDescent="0.2">
      <c r="B45" t="str">
        <f>'Week 2'!C16</f>
        <v>4.</v>
      </c>
      <c r="C45" t="str">
        <f>'Week 2'!D16</f>
        <v>What time did you try to go to sleep?</v>
      </c>
      <c r="D45">
        <f>'Week 2'!E16</f>
        <v>0.98958333333333337</v>
      </c>
      <c r="E45">
        <f>'Week 2'!F16</f>
        <v>0</v>
      </c>
      <c r="F45">
        <f>'Week 2'!G16</f>
        <v>0</v>
      </c>
      <c r="G45">
        <f>'Week 2'!H16</f>
        <v>0</v>
      </c>
      <c r="H45">
        <f>'Week 2'!I16</f>
        <v>0</v>
      </c>
      <c r="I45">
        <f>'Week 2'!J16</f>
        <v>0</v>
      </c>
      <c r="J45">
        <f>'Week 2'!K16</f>
        <v>0</v>
      </c>
      <c r="K45">
        <f>'Week 2'!L16</f>
        <v>0</v>
      </c>
      <c r="L45">
        <f>'Week 2'!M16</f>
        <v>0</v>
      </c>
      <c r="N45" t="str">
        <f t="shared" ref="N45:P45" si="29">IFERROR(TEXT(IF(N54&lt;0,24+N54,N54)/24,"h:mm"),"")</f>
        <v>0:00</v>
      </c>
      <c r="O45" t="str">
        <f t="shared" si="29"/>
        <v>0:00</v>
      </c>
      <c r="P45" t="str">
        <f t="shared" si="29"/>
        <v>0:00</v>
      </c>
      <c r="R45" t="s">
        <v>123</v>
      </c>
      <c r="S45" s="49" t="e">
        <f>IF((S44)&lt;0,(S44)+T44,(S44))</f>
        <v>#VALUE!</v>
      </c>
    </row>
    <row r="46" spans="2:22" x14ac:dyDescent="0.2">
      <c r="B46" t="str">
        <f>'Week 2'!C17</f>
        <v>5.</v>
      </c>
      <c r="C46" t="str">
        <f>'Week 2'!D17</f>
        <v>How long did it actually take you to fall asleep (in minutes)?</v>
      </c>
      <c r="D46">
        <f>'Week 2'!E17</f>
        <v>30</v>
      </c>
      <c r="E46">
        <f>'Week 2'!F17</f>
        <v>0</v>
      </c>
      <c r="F46">
        <f>'Week 2'!G17</f>
        <v>0</v>
      </c>
      <c r="G46">
        <f>'Week 2'!H17</f>
        <v>0</v>
      </c>
      <c r="H46">
        <f>'Week 2'!I17</f>
        <v>0</v>
      </c>
      <c r="I46">
        <f>'Week 2'!J17</f>
        <v>0</v>
      </c>
      <c r="J46">
        <f>'Week 2'!K17</f>
        <v>0</v>
      </c>
      <c r="K46">
        <f>'Week 2'!L17</f>
        <v>0</v>
      </c>
      <c r="L46">
        <f>'Week 2'!M17</f>
        <v>0</v>
      </c>
      <c r="N46">
        <f>SUM(E46:I46)/5</f>
        <v>0</v>
      </c>
      <c r="O46">
        <f>SUM(E46:J46)/6</f>
        <v>0</v>
      </c>
      <c r="P46">
        <f>SUM(E46:K46)/7</f>
        <v>0</v>
      </c>
      <c r="R46" t="s">
        <v>126</v>
      </c>
      <c r="S46" t="e">
        <f>IF(S43&gt;0.229166666666667,S45+TIME(0,1,0),S45)</f>
        <v>#VALUE!</v>
      </c>
    </row>
    <row r="47" spans="2:22" x14ac:dyDescent="0.2">
      <c r="B47" t="str">
        <f>'Week 2'!C18</f>
        <v>6.</v>
      </c>
      <c r="C47" t="str">
        <f>'Week 2'!D18</f>
        <v>How many times did you wake up during the night?</v>
      </c>
      <c r="D47">
        <f>'Week 2'!E18</f>
        <v>2</v>
      </c>
      <c r="E47">
        <f>'Week 2'!F18</f>
        <v>0</v>
      </c>
      <c r="F47">
        <f>'Week 2'!G18</f>
        <v>0</v>
      </c>
      <c r="G47">
        <f>'Week 2'!H18</f>
        <v>0</v>
      </c>
      <c r="H47">
        <f>'Week 2'!I18</f>
        <v>0</v>
      </c>
      <c r="I47">
        <f>'Week 2'!J18</f>
        <v>0</v>
      </c>
      <c r="J47">
        <f>'Week 2'!K18</f>
        <v>0</v>
      </c>
      <c r="K47">
        <f>'Week 2'!L18</f>
        <v>0</v>
      </c>
      <c r="L47">
        <f>'Week 2'!M18</f>
        <v>0</v>
      </c>
      <c r="N47">
        <f t="shared" ref="N47:N48" si="30">SUM(E47:I47)/5</f>
        <v>0</v>
      </c>
      <c r="O47">
        <f t="shared" ref="O47:O48" si="31">SUM(E47:J47)/6</f>
        <v>0</v>
      </c>
      <c r="P47">
        <f t="shared" ref="P47:P48" si="32">SUM(E47:K47)/7</f>
        <v>0</v>
      </c>
    </row>
    <row r="48" spans="2:22" x14ac:dyDescent="0.2">
      <c r="B48" t="str">
        <f>'Week 2'!C19</f>
        <v>7.</v>
      </c>
      <c r="C48" t="str">
        <f>'Week 2'!D19</f>
        <v>In total, how long did these awakening last (in minutes)?</v>
      </c>
      <c r="D48">
        <f>'Week 2'!E19</f>
        <v>60</v>
      </c>
      <c r="E48">
        <f>'Week 2'!F19</f>
        <v>0</v>
      </c>
      <c r="F48">
        <f>'Week 2'!G19</f>
        <v>0</v>
      </c>
      <c r="G48">
        <f>'Week 2'!H19</f>
        <v>0</v>
      </c>
      <c r="H48">
        <f>'Week 2'!I19</f>
        <v>0</v>
      </c>
      <c r="I48">
        <f>'Week 2'!J19</f>
        <v>0</v>
      </c>
      <c r="J48">
        <f>'Week 2'!K19</f>
        <v>0</v>
      </c>
      <c r="K48">
        <f>'Week 2'!L19</f>
        <v>0</v>
      </c>
      <c r="L48">
        <f>'Week 2'!M19</f>
        <v>0</v>
      </c>
      <c r="N48">
        <f t="shared" si="30"/>
        <v>0</v>
      </c>
      <c r="O48">
        <f t="shared" si="31"/>
        <v>0</v>
      </c>
      <c r="P48">
        <f t="shared" si="32"/>
        <v>0</v>
      </c>
    </row>
    <row r="49" spans="2:16" x14ac:dyDescent="0.2">
      <c r="B49" t="str">
        <f>'Week 2'!C20</f>
        <v>8.</v>
      </c>
      <c r="C49" t="str">
        <f>'Week 2'!D20</f>
        <v>What time was your final awakening?</v>
      </c>
      <c r="D49">
        <f>'Week 2'!E20</f>
        <v>0.29166666666666669</v>
      </c>
      <c r="E49">
        <f>'Week 2'!F20</f>
        <v>0</v>
      </c>
      <c r="F49">
        <f>'Week 2'!G20</f>
        <v>0</v>
      </c>
      <c r="G49">
        <f>'Week 2'!H20</f>
        <v>0</v>
      </c>
      <c r="H49">
        <f>'Week 2'!I20</f>
        <v>0</v>
      </c>
      <c r="I49">
        <f>'Week 2'!J20</f>
        <v>0</v>
      </c>
      <c r="J49">
        <f>'Week 2'!K20</f>
        <v>0</v>
      </c>
      <c r="K49">
        <f>'Week 2'!L20</f>
        <v>0</v>
      </c>
      <c r="L49">
        <f>'Week 2'!M20</f>
        <v>0</v>
      </c>
      <c r="N49" t="str">
        <f>IFERROR(TEXT(IF(N55&lt;0,24+N55,N55)/24,"h:mm"),"")</f>
        <v>0:00</v>
      </c>
      <c r="O49" t="str">
        <f t="shared" ref="O49:P49" si="33">IFERROR(TEXT(IF(O55&lt;0,24+O55,O55)/24,"h:mm"),"")</f>
        <v>0:00</v>
      </c>
      <c r="P49" t="str">
        <f t="shared" si="33"/>
        <v>0:00</v>
      </c>
    </row>
    <row r="50" spans="2:16" x14ac:dyDescent="0.2">
      <c r="B50" t="str">
        <f>'Week 2'!C21</f>
        <v>9.</v>
      </c>
      <c r="C50" t="str">
        <f>'Week 2'!D21</f>
        <v>When did you get out of bed to start your day?</v>
      </c>
      <c r="D50">
        <f>'Week 2'!E21</f>
        <v>0.33333333333333331</v>
      </c>
      <c r="E50">
        <f>'Week 2'!F21</f>
        <v>0</v>
      </c>
      <c r="F50">
        <f>'Week 2'!G21</f>
        <v>0</v>
      </c>
      <c r="G50">
        <f>'Week 2'!H21</f>
        <v>0</v>
      </c>
      <c r="H50">
        <f>'Week 2'!I21</f>
        <v>0</v>
      </c>
      <c r="I50">
        <f>'Week 2'!J21</f>
        <v>0</v>
      </c>
      <c r="J50">
        <f>'Week 2'!K21</f>
        <v>0</v>
      </c>
      <c r="K50">
        <f>'Week 2'!L21</f>
        <v>0</v>
      </c>
      <c r="L50">
        <f>'Week 2'!M21</f>
        <v>0</v>
      </c>
      <c r="N50" t="str">
        <f>IFERROR(TEXT(IF(N56&lt;0,24+N56,N56)/24,"h:mm"),"")</f>
        <v>0:00</v>
      </c>
      <c r="O50" t="str">
        <f t="shared" ref="O50:P50" si="34">IFERROR(TEXT(IF(O56&lt;0,24+O56,O56)/24,"h:mm"),"")</f>
        <v>0:00</v>
      </c>
      <c r="P50" t="str">
        <f t="shared" si="34"/>
        <v>0:00</v>
      </c>
    </row>
    <row r="51" spans="2:16" x14ac:dyDescent="0.2">
      <c r="B51" t="str">
        <f>'Week 2'!C23</f>
        <v>11.</v>
      </c>
      <c r="C51" t="str">
        <f>'Week 2'!D23</f>
        <v>How would you rate the quality of your sleep?</v>
      </c>
      <c r="D51" t="str">
        <f>'Week 2'!E23</f>
        <v>Fair</v>
      </c>
      <c r="E51">
        <f>'Week 2'!F23</f>
        <v>0</v>
      </c>
      <c r="F51">
        <f>'Week 2'!G23</f>
        <v>0</v>
      </c>
      <c r="G51">
        <f>'Week 2'!H23</f>
        <v>0</v>
      </c>
      <c r="H51">
        <f>'Week 2'!I23</f>
        <v>0</v>
      </c>
      <c r="I51">
        <f>'Week 2'!J23</f>
        <v>0</v>
      </c>
      <c r="J51">
        <f>'Week 2'!K23</f>
        <v>0</v>
      </c>
      <c r="K51">
        <f>'Week 2'!L23</f>
        <v>0</v>
      </c>
      <c r="L51">
        <f>'Week 2'!M23</f>
        <v>0</v>
      </c>
      <c r="N51">
        <f>SUM(E51:I51)/5</f>
        <v>0</v>
      </c>
      <c r="O51">
        <f t="shared" ref="O51" si="35">SUM(E51:J51)/6</f>
        <v>0</v>
      </c>
      <c r="P51">
        <f t="shared" ref="P51" si="36">SUM(E51:K51)/7</f>
        <v>0</v>
      </c>
    </row>
    <row r="53" spans="2:16" x14ac:dyDescent="0.2">
      <c r="C53" s="13"/>
      <c r="D53" s="14">
        <f>IF(ISBLANK(D44),"",IF(HOUR(D44)&gt;12,HOUR(D44)+(MINUTE(D44)/60)-24,HOUR(D44)+(MINUTE(D44)/60)))</f>
        <v>-0.5</v>
      </c>
      <c r="E53" s="14">
        <f t="shared" ref="E53:K53" si="37">IF(ISBLANK(E44),"",IF(HOUR(E44)&gt;12,HOUR(E44)+(MINUTE(E44)/60)-24,HOUR(E44)+(MINUTE(E44)/60)))</f>
        <v>0</v>
      </c>
      <c r="F53" s="14">
        <f t="shared" si="37"/>
        <v>0</v>
      </c>
      <c r="G53" s="14">
        <f t="shared" si="37"/>
        <v>0</v>
      </c>
      <c r="H53" s="14">
        <f t="shared" si="37"/>
        <v>0</v>
      </c>
      <c r="I53" s="14">
        <f t="shared" si="37"/>
        <v>0</v>
      </c>
      <c r="J53" s="14">
        <f t="shared" si="37"/>
        <v>0</v>
      </c>
      <c r="K53" s="14">
        <f t="shared" si="37"/>
        <v>0</v>
      </c>
      <c r="L53">
        <f>SUM(E53:K53)/$M$7</f>
        <v>0</v>
      </c>
      <c r="N53">
        <f>SUM(E53:I53)/5</f>
        <v>0</v>
      </c>
      <c r="O53">
        <f>SUM(E53:J53)/6</f>
        <v>0</v>
      </c>
      <c r="P53">
        <f>SUM(E53:K53)/7</f>
        <v>0</v>
      </c>
    </row>
    <row r="54" spans="2:16" x14ac:dyDescent="0.2">
      <c r="C54" s="13"/>
      <c r="D54" s="14">
        <f>IF(ISBLANK(D45),"",IF(HOUR(D45)&gt;12,HOUR(D45)+(MINUTE(D45)/60)-24,HOUR(D45)+(MINUTE(D45)/60)))</f>
        <v>-0.25</v>
      </c>
      <c r="E54" s="14">
        <f t="shared" ref="E54:K54" si="38">IF(ISBLANK(E45),"",IF(HOUR(E45)&gt;12,HOUR(E45)+(MINUTE(E45)/60)-24,HOUR(E45)+(MINUTE(E45)/60)))</f>
        <v>0</v>
      </c>
      <c r="F54" s="14">
        <f t="shared" si="38"/>
        <v>0</v>
      </c>
      <c r="G54" s="14">
        <f t="shared" si="38"/>
        <v>0</v>
      </c>
      <c r="H54" s="14">
        <f t="shared" si="38"/>
        <v>0</v>
      </c>
      <c r="I54" s="14">
        <f t="shared" si="38"/>
        <v>0</v>
      </c>
      <c r="J54" s="14">
        <f t="shared" si="38"/>
        <v>0</v>
      </c>
      <c r="K54" s="14">
        <f t="shared" si="38"/>
        <v>0</v>
      </c>
      <c r="L54">
        <f t="shared" ref="L54:L58" si="39">SUM(E54:K54)/$M$7</f>
        <v>0</v>
      </c>
      <c r="N54">
        <f>SUM(E54:I54)/5</f>
        <v>0</v>
      </c>
      <c r="O54">
        <f>SUM(E54:J54)/6</f>
        <v>0</v>
      </c>
      <c r="P54">
        <f>SUM(E54:K54)/7</f>
        <v>0</v>
      </c>
    </row>
    <row r="55" spans="2:16" x14ac:dyDescent="0.2">
      <c r="C55" s="13"/>
      <c r="D55" s="14">
        <f>IF(ISBLANK(D49),"",HOUR(D49)+(MINUTE(D49)/60))</f>
        <v>7</v>
      </c>
      <c r="E55" s="14">
        <f t="shared" ref="E55:K55" si="40">IF(ISBLANK(E49),"",HOUR(E49)+(MINUTE(E49)/60))</f>
        <v>0</v>
      </c>
      <c r="F55" s="14">
        <f t="shared" si="40"/>
        <v>0</v>
      </c>
      <c r="G55" s="14">
        <f t="shared" si="40"/>
        <v>0</v>
      </c>
      <c r="H55" s="14">
        <f t="shared" si="40"/>
        <v>0</v>
      </c>
      <c r="I55" s="14">
        <f t="shared" si="40"/>
        <v>0</v>
      </c>
      <c r="J55" s="14">
        <f t="shared" si="40"/>
        <v>0</v>
      </c>
      <c r="K55" s="14">
        <f t="shared" si="40"/>
        <v>0</v>
      </c>
      <c r="L55">
        <f t="shared" si="39"/>
        <v>0</v>
      </c>
      <c r="N55">
        <f>SUM(E55:I55)/5</f>
        <v>0</v>
      </c>
      <c r="O55">
        <f>SUM(E55:J55)/6</f>
        <v>0</v>
      </c>
      <c r="P55">
        <f>SUM(E55:K55)/7</f>
        <v>0</v>
      </c>
    </row>
    <row r="56" spans="2:16" x14ac:dyDescent="0.2">
      <c r="C56" s="13"/>
      <c r="D56" s="14">
        <f>IF(ISBLANK(D50),"",HOUR(D50)+(MINUTE(D50)/60))</f>
        <v>8</v>
      </c>
      <c r="E56" s="14">
        <f t="shared" ref="E56:K56" si="41">IF(ISBLANK(E50),"",HOUR(E50)+(MINUTE(E50)/60))</f>
        <v>0</v>
      </c>
      <c r="F56" s="14">
        <f t="shared" si="41"/>
        <v>0</v>
      </c>
      <c r="G56" s="14">
        <f t="shared" si="41"/>
        <v>0</v>
      </c>
      <c r="H56" s="14">
        <f t="shared" si="41"/>
        <v>0</v>
      </c>
      <c r="I56" s="14">
        <f t="shared" si="41"/>
        <v>0</v>
      </c>
      <c r="J56" s="14">
        <f t="shared" si="41"/>
        <v>0</v>
      </c>
      <c r="K56" s="14">
        <f t="shared" si="41"/>
        <v>0</v>
      </c>
      <c r="L56">
        <f t="shared" si="39"/>
        <v>0</v>
      </c>
      <c r="N56">
        <f>SUM(E56:I56)/5</f>
        <v>0</v>
      </c>
      <c r="O56">
        <f>SUM(E56:J56)/6</f>
        <v>0</v>
      </c>
      <c r="P56">
        <f>SUM(E56:K56)/7</f>
        <v>0</v>
      </c>
    </row>
    <row r="57" spans="2:16" x14ac:dyDescent="0.2">
      <c r="C57" s="13"/>
      <c r="D57" s="14">
        <f>IF(ISBLANK(D45),"", IF(ISBLANK(D50),"",24*IF(D45&gt;D50,D50+1-D45,D50-D45)))</f>
        <v>8.2499999999999964</v>
      </c>
      <c r="E57" s="14">
        <f t="shared" ref="E57:K57" si="42">IF(ISBLANK(E45),"", IF(ISBLANK(E50),"",24*IF(E45&gt;E50,E50+1-E45,E50-E45)))</f>
        <v>0</v>
      </c>
      <c r="F57" s="14">
        <f t="shared" si="42"/>
        <v>0</v>
      </c>
      <c r="G57" s="14">
        <f t="shared" si="42"/>
        <v>0</v>
      </c>
      <c r="H57" s="14">
        <f t="shared" si="42"/>
        <v>0</v>
      </c>
      <c r="I57" s="14">
        <f t="shared" si="42"/>
        <v>0</v>
      </c>
      <c r="J57" s="14">
        <f t="shared" si="42"/>
        <v>0</v>
      </c>
      <c r="K57" s="14">
        <f t="shared" si="42"/>
        <v>0</v>
      </c>
      <c r="L57">
        <f t="shared" si="39"/>
        <v>0</v>
      </c>
    </row>
    <row r="58" spans="2:16" x14ac:dyDescent="0.2">
      <c r="C58" s="13"/>
      <c r="D58" s="14">
        <f>IF(ISBLANK(D59),"",(IF(ISBLANK(D46),"",IF(ISBLANK(D48),"",D57-((D46+D48)/60)-(D56-D55)))))</f>
        <v>5.7499999999999964</v>
      </c>
      <c r="E58" s="14">
        <f t="shared" ref="E58:K58" si="43">IF(ISBLANK(E59),"",(IF(ISBLANK(E46),"",IF(ISBLANK(E48),"",E57-((E46+E48)/60)-(E56-E55)))))</f>
        <v>0</v>
      </c>
      <c r="F58" s="14">
        <f t="shared" si="43"/>
        <v>0</v>
      </c>
      <c r="G58" s="14">
        <f t="shared" si="43"/>
        <v>0</v>
      </c>
      <c r="H58" s="14">
        <f t="shared" si="43"/>
        <v>0</v>
      </c>
      <c r="I58" s="14">
        <f t="shared" si="43"/>
        <v>0</v>
      </c>
      <c r="J58" s="14">
        <f t="shared" si="43"/>
        <v>0</v>
      </c>
      <c r="K58" s="14">
        <f t="shared" si="43"/>
        <v>0</v>
      </c>
      <c r="L58">
        <f t="shared" si="39"/>
        <v>0</v>
      </c>
    </row>
    <row r="59" spans="2:16" x14ac:dyDescent="0.2">
      <c r="C59" s="15" t="s">
        <v>27</v>
      </c>
      <c r="D59" s="38">
        <f>IF(ISBLANK(D45),"", IF(ISBLANK(D50),"",IF(D45&gt;D50,D50+1-D45,D50-D45)))</f>
        <v>0.34374999999999989</v>
      </c>
      <c r="E59" s="38">
        <f>IF(ISBLANK(E45),"", IF(ISBLANK(E50),"",IF(E45&gt;E50,E50+1-E45,E50-E45)))</f>
        <v>0</v>
      </c>
      <c r="F59" s="38">
        <f t="shared" ref="F59:K59" si="44">IF(ISBLANK(F45),"", IF(ISBLANK(F50),"",IF(F45&gt;F50,F50+1-F45,F50-F45)))</f>
        <v>0</v>
      </c>
      <c r="G59" s="38">
        <f t="shared" si="44"/>
        <v>0</v>
      </c>
      <c r="H59" s="38">
        <f t="shared" si="44"/>
        <v>0</v>
      </c>
      <c r="I59" s="38">
        <f t="shared" si="44"/>
        <v>0</v>
      </c>
      <c r="J59" s="38">
        <f t="shared" si="44"/>
        <v>0</v>
      </c>
      <c r="K59" s="38">
        <f t="shared" si="44"/>
        <v>0</v>
      </c>
      <c r="N59" s="42">
        <f t="shared" ref="N59:N60" si="45">SUM(E59:I59)/5</f>
        <v>0</v>
      </c>
      <c r="O59" s="42">
        <f t="shared" ref="O59:O60" si="46">SUM(E59:J59)/6</f>
        <v>0</v>
      </c>
      <c r="P59" s="42">
        <f t="shared" ref="P59:P61" si="47">SUM(E59:K59)/7</f>
        <v>0</v>
      </c>
    </row>
    <row r="60" spans="2:16" x14ac:dyDescent="0.2">
      <c r="C60" s="15" t="s">
        <v>28</v>
      </c>
      <c r="D60" s="38">
        <f>D58/24</f>
        <v>0.23958333333333318</v>
      </c>
      <c r="E60" s="38">
        <f t="shared" ref="E60:K60" si="48">E58/24</f>
        <v>0</v>
      </c>
      <c r="F60" s="38">
        <f t="shared" si="48"/>
        <v>0</v>
      </c>
      <c r="G60" s="38">
        <f t="shared" si="48"/>
        <v>0</v>
      </c>
      <c r="H60" s="38">
        <f t="shared" si="48"/>
        <v>0</v>
      </c>
      <c r="I60" s="38">
        <f t="shared" si="48"/>
        <v>0</v>
      </c>
      <c r="J60" s="38">
        <f t="shared" si="48"/>
        <v>0</v>
      </c>
      <c r="K60" s="38">
        <f t="shared" si="48"/>
        <v>0</v>
      </c>
      <c r="N60" s="42">
        <f t="shared" si="45"/>
        <v>0</v>
      </c>
      <c r="O60" s="42">
        <f t="shared" si="46"/>
        <v>0</v>
      </c>
      <c r="P60" s="42">
        <f t="shared" si="47"/>
        <v>0</v>
      </c>
    </row>
    <row r="61" spans="2:16" x14ac:dyDescent="0.2">
      <c r="C61" s="15" t="s">
        <v>29</v>
      </c>
      <c r="D61" s="16">
        <f>IF(ISERROR(D60/D59),"",IF(ISBLANK(D60),"",D60/D59))</f>
        <v>0.69696969696969668</v>
      </c>
      <c r="E61" s="16" t="str">
        <f t="shared" ref="E61:K61" si="49">IF(ISERROR(E60/E59),"",IF(ISBLANK(E60),"",E60/E59))</f>
        <v/>
      </c>
      <c r="F61" s="16" t="str">
        <f t="shared" si="49"/>
        <v/>
      </c>
      <c r="G61" s="16" t="str">
        <f t="shared" si="49"/>
        <v/>
      </c>
      <c r="H61" s="16" t="str">
        <f t="shared" si="49"/>
        <v/>
      </c>
      <c r="I61" s="16" t="str">
        <f t="shared" si="49"/>
        <v/>
      </c>
      <c r="J61" s="16" t="str">
        <f t="shared" si="49"/>
        <v/>
      </c>
      <c r="K61" s="16" t="str">
        <f t="shared" si="49"/>
        <v/>
      </c>
      <c r="N61" s="41">
        <f t="shared" ref="N61" si="50">SUM(E61:I61)/5</f>
        <v>0</v>
      </c>
      <c r="O61" s="41">
        <f t="shared" ref="O61" si="51">SUM(E61:J61)/6</f>
        <v>0</v>
      </c>
      <c r="P61" s="41">
        <f t="shared" si="47"/>
        <v>0</v>
      </c>
    </row>
    <row r="64" spans="2:16" x14ac:dyDescent="0.2">
      <c r="B64" s="238" t="s">
        <v>59</v>
      </c>
      <c r="C64" s="238"/>
      <c r="D64" s="238"/>
      <c r="G64" t="s">
        <v>70</v>
      </c>
      <c r="H64" s="48">
        <v>0.85</v>
      </c>
    </row>
    <row r="65" spans="2:18" x14ac:dyDescent="0.2">
      <c r="B65" s="43"/>
      <c r="C65" s="43" t="s">
        <v>65</v>
      </c>
      <c r="D65" s="44" t="str">
        <f>IF(M42&lt;5,"",IF(M42=5,N43,IF(M42=6,O43,P43)))</f>
        <v/>
      </c>
    </row>
    <row r="66" spans="2:18" x14ac:dyDescent="0.2">
      <c r="B66" s="43"/>
      <c r="C66" s="43" t="s">
        <v>60</v>
      </c>
      <c r="D66" s="44" t="str">
        <f>IF(M42&lt;5,"",IF(M42=5,N44,IF(M42=6,O44,P44)))</f>
        <v/>
      </c>
    </row>
    <row r="67" spans="2:18" x14ac:dyDescent="0.2">
      <c r="B67" s="43"/>
      <c r="C67" s="43" t="s">
        <v>61</v>
      </c>
      <c r="D67" s="44" t="str">
        <f>IF(M42&lt;5,"",IF(M42=5,N45,IF(M42=6,O45,P45)))</f>
        <v/>
      </c>
    </row>
    <row r="68" spans="2:18" x14ac:dyDescent="0.2">
      <c r="B68" s="45"/>
      <c r="C68" s="45" t="s">
        <v>62</v>
      </c>
      <c r="D68" s="44" t="str">
        <f>IF(M42&lt;5,"",IF(M42=5,N46,IF(M42=6,O46,P46)))</f>
        <v/>
      </c>
    </row>
    <row r="69" spans="2:18" x14ac:dyDescent="0.2">
      <c r="B69" s="45"/>
      <c r="C69" s="45" t="s">
        <v>63</v>
      </c>
      <c r="D69" s="44" t="str">
        <f>IF(M42&lt;5,"",IF(M42=5,N49,IF(M42=6,O49,P49)))</f>
        <v/>
      </c>
    </row>
    <row r="70" spans="2:18" x14ac:dyDescent="0.2">
      <c r="B70" s="43"/>
      <c r="C70" s="43" t="s">
        <v>64</v>
      </c>
      <c r="D70" s="44" t="str">
        <f>IF(M42&lt;5,"",IF(M42=5,N50,IF(M42=6,O50,P50)))</f>
        <v/>
      </c>
    </row>
    <row r="71" spans="2:18" x14ac:dyDescent="0.2">
      <c r="C71" t="s">
        <v>72</v>
      </c>
      <c r="D71" s="49" t="str">
        <f>IF(M42&lt;5,"",IF(M42=5,N60,IF(M42=6,O60,P60)))</f>
        <v/>
      </c>
    </row>
    <row r="72" spans="2:18" x14ac:dyDescent="0.2">
      <c r="C72" t="s">
        <v>73</v>
      </c>
      <c r="D72" s="50" t="str">
        <f>IF(M42&lt;5,"",IF(M42=5,N61,IF(M42=6,O61,P61)))</f>
        <v/>
      </c>
    </row>
    <row r="73" spans="2:18" s="5" customFormat="1" x14ac:dyDescent="0.2"/>
    <row r="74" spans="2:18" x14ac:dyDescent="0.2">
      <c r="B74" t="s">
        <v>75</v>
      </c>
    </row>
    <row r="75" spans="2:18" x14ac:dyDescent="0.2">
      <c r="N75" t="s">
        <v>67</v>
      </c>
      <c r="O75" t="s">
        <v>68</v>
      </c>
      <c r="P75" t="s">
        <v>69</v>
      </c>
    </row>
    <row r="76" spans="2:18" x14ac:dyDescent="0.2">
      <c r="B76" t="str">
        <f>'Week 3'!C18</f>
        <v>Sleep Diary Entry for Week 3</v>
      </c>
      <c r="C76" t="str">
        <f>'Week 3'!D18</f>
        <v>Sleep Diary Entry for Week 3</v>
      </c>
      <c r="D76" t="str">
        <f>'Week 3'!E18</f>
        <v>Sample</v>
      </c>
      <c r="E76" t="str">
        <f>'Week 3'!F18</f>
        <v>Day 1</v>
      </c>
      <c r="F76" t="str">
        <f>'Week 3'!G18</f>
        <v>Day 2</v>
      </c>
      <c r="G76" t="str">
        <f>'Week 3'!H18</f>
        <v>Day 3</v>
      </c>
      <c r="H76" t="str">
        <f>'Week 3'!I18</f>
        <v>Day 4</v>
      </c>
      <c r="I76" t="str">
        <f>'Week 3'!J18</f>
        <v>Day 5</v>
      </c>
      <c r="J76" t="str">
        <f>'Week 3'!K18</f>
        <v>Day 6</v>
      </c>
      <c r="K76" t="str">
        <f>'Week 3'!L18</f>
        <v>Day 7</v>
      </c>
      <c r="L76">
        <f>'Week 3'!M18</f>
        <v>0</v>
      </c>
      <c r="R76" t="s">
        <v>89</v>
      </c>
    </row>
    <row r="77" spans="2:18" x14ac:dyDescent="0.2">
      <c r="B77" t="str">
        <f>'Week 3'!C19</f>
        <v>1.</v>
      </c>
      <c r="C77" t="str">
        <f>'Week 3'!D19</f>
        <v>Date</v>
      </c>
      <c r="D77">
        <f>'Week 3'!E19</f>
        <v>40544</v>
      </c>
      <c r="E77">
        <f>'Week 3'!F19</f>
        <v>0</v>
      </c>
      <c r="F77">
        <f>'Week 3'!G19</f>
        <v>0</v>
      </c>
      <c r="G77">
        <f>'Week 3'!H19</f>
        <v>0</v>
      </c>
      <c r="H77">
        <f>'Week 3'!I19</f>
        <v>0</v>
      </c>
      <c r="I77">
        <f>'Week 3'!J19</f>
        <v>0</v>
      </c>
      <c r="J77">
        <f>'Week 3'!K19</f>
        <v>0</v>
      </c>
      <c r="K77">
        <f>'Week 3'!L19</f>
        <v>0</v>
      </c>
      <c r="L77">
        <f>'Week 3'!M19</f>
        <v>0</v>
      </c>
      <c r="M77">
        <f>SUMPRODUCT(--(LEN(E77:K77)&gt;1))</f>
        <v>0</v>
      </c>
      <c r="N77" t="str">
        <f>IF(M77&lt;5,"",IF(D75=5,"Medium",IF(D75="M","Medium","Large")))</f>
        <v/>
      </c>
      <c r="O77" s="44" t="str">
        <f>D100</f>
        <v/>
      </c>
      <c r="R77">
        <f>IF('Week 3'!E5="Never",1,IF('Week 3'!E5="Rarely ",2,IF('Week 3'!E5="Sometimes ",3,IF('Week 3'!E5="Frequently ",4,IF('Week 3'!E5="Never",5,IF('Week 3'!E5="Always",5))))))</f>
        <v>1</v>
      </c>
    </row>
    <row r="78" spans="2:18" x14ac:dyDescent="0.2">
      <c r="B78" t="str">
        <f>'Week 3'!C20</f>
        <v>2.</v>
      </c>
      <c r="C78" t="str">
        <f>'Week 3'!D20</f>
        <v>How long did you nap or doze yesterday (in minutes)?</v>
      </c>
      <c r="D78">
        <f>'Week 3'!E20</f>
        <v>30</v>
      </c>
      <c r="E78">
        <f>'Week 3'!F20</f>
        <v>0</v>
      </c>
      <c r="F78">
        <f>'Week 3'!G20</f>
        <v>0</v>
      </c>
      <c r="G78">
        <f>'Week 3'!H20</f>
        <v>0</v>
      </c>
      <c r="H78">
        <f>'Week 3'!I20</f>
        <v>0</v>
      </c>
      <c r="I78">
        <f>'Week 3'!J20</f>
        <v>0</v>
      </c>
      <c r="J78">
        <f>'Week 3'!K20</f>
        <v>0</v>
      </c>
      <c r="K78">
        <f>'Week 3'!L20</f>
        <v>0</v>
      </c>
      <c r="L78">
        <f>'Week 3'!M20</f>
        <v>0</v>
      </c>
      <c r="N78">
        <f t="shared" ref="N78" si="52">SUM(E78:I78)/5</f>
        <v>0</v>
      </c>
      <c r="O78">
        <f t="shared" ref="O78" si="53">SUM(E78:J78)/6</f>
        <v>0</v>
      </c>
      <c r="P78">
        <f t="shared" ref="P78" si="54">SUM(E78:K78)/7</f>
        <v>0</v>
      </c>
      <c r="R78">
        <f>IF('Week 3'!E6="Never",1,IF('Week 3'!E6="Rarely ",2,IF('Week 3'!E6="Sometimes ",3,IF('Week 3'!E6="Frequently ",4,IF('Week 3'!E6="Never",5,IF('Week 3'!E6="Always",5))))))</f>
        <v>1</v>
      </c>
    </row>
    <row r="79" spans="2:18" x14ac:dyDescent="0.2">
      <c r="B79" t="str">
        <f>'Week 3'!C21</f>
        <v>3.</v>
      </c>
      <c r="C79" t="str">
        <f>'Week 3'!D21</f>
        <v>What time did you get into bed yesterday?</v>
      </c>
      <c r="D79">
        <f>'Week 3'!E21</f>
        <v>0.97916666666666663</v>
      </c>
      <c r="E79">
        <f>'Week 3'!F21</f>
        <v>0</v>
      </c>
      <c r="F79">
        <f>'Week 3'!G21</f>
        <v>0</v>
      </c>
      <c r="G79">
        <f>'Week 3'!H21</f>
        <v>0</v>
      </c>
      <c r="H79">
        <f>'Week 3'!I21</f>
        <v>0</v>
      </c>
      <c r="I79">
        <f>'Week 3'!J21</f>
        <v>0</v>
      </c>
      <c r="J79">
        <f>'Week 3'!K21</f>
        <v>0</v>
      </c>
      <c r="K79">
        <f>'Week 3'!L21</f>
        <v>0</v>
      </c>
      <c r="L79">
        <f>'Week 3'!M21</f>
        <v>0</v>
      </c>
      <c r="N79" t="str">
        <f t="shared" ref="N79:P79" si="55">IFERROR(TEXT(IF(N88&lt;0,24+N88,N88)/24,"h:mm"),"")</f>
        <v>0:00</v>
      </c>
      <c r="O79" t="str">
        <f t="shared" si="55"/>
        <v>0:00</v>
      </c>
      <c r="P79" t="str">
        <f t="shared" si="55"/>
        <v>0:00</v>
      </c>
      <c r="R79">
        <f>IF('Week 3'!E7="Never",1,IF('Week 3'!E7="Rarely ",2,IF('Week 3'!E7="Sometimes ",3,IF('Week 3'!E7="Frequently ",4,IF('Week 3'!E7="Never",5,IF('Week 3'!E7="Always",5))))))</f>
        <v>1</v>
      </c>
    </row>
    <row r="80" spans="2:18" x14ac:dyDescent="0.2">
      <c r="B80" t="str">
        <f>'Week 3'!C22</f>
        <v>4.</v>
      </c>
      <c r="C80" t="str">
        <f>'Week 3'!D22</f>
        <v>What time did you try to go to sleep?</v>
      </c>
      <c r="D80">
        <f>'Week 3'!E22</f>
        <v>0.98958333333333337</v>
      </c>
      <c r="E80">
        <f>'Week 3'!F22</f>
        <v>0</v>
      </c>
      <c r="F80">
        <f>'Week 3'!G22</f>
        <v>0</v>
      </c>
      <c r="G80">
        <f>'Week 3'!H22</f>
        <v>0</v>
      </c>
      <c r="H80">
        <f>'Week 3'!I22</f>
        <v>0</v>
      </c>
      <c r="I80">
        <f>'Week 3'!J22</f>
        <v>0</v>
      </c>
      <c r="J80">
        <f>'Week 3'!K22</f>
        <v>0</v>
      </c>
      <c r="K80">
        <f>'Week 3'!L22</f>
        <v>0</v>
      </c>
      <c r="L80">
        <f>'Week 3'!M22</f>
        <v>0</v>
      </c>
      <c r="N80" t="str">
        <f t="shared" ref="N80:P80" si="56">IFERROR(TEXT(IF(N89&lt;0,24+N89,N89)/24,"h:mm"),"")</f>
        <v>0:00</v>
      </c>
      <c r="O80" t="str">
        <f t="shared" si="56"/>
        <v>0:00</v>
      </c>
      <c r="P80" t="str">
        <f t="shared" si="56"/>
        <v>0:00</v>
      </c>
      <c r="R80">
        <f>IF('Week 3'!E8="Never",1,IF('Week 3'!E8="Rarely ",2,IF('Week 3'!E8="Sometimes ",3,IF('Week 3'!E8="Frequently ",4,IF('Week 3'!E8="Never",5,IF('Week 3'!E8="Always",5))))))</f>
        <v>1</v>
      </c>
    </row>
    <row r="81" spans="2:21" x14ac:dyDescent="0.2">
      <c r="B81" t="str">
        <f>'Week 3'!C23</f>
        <v>5.</v>
      </c>
      <c r="C81" t="str">
        <f>'Week 3'!D23</f>
        <v>How long did it actually take you to fall asleep (in minutes)?</v>
      </c>
      <c r="D81">
        <f>'Week 3'!E23</f>
        <v>30</v>
      </c>
      <c r="E81">
        <f>'Week 3'!F23</f>
        <v>0</v>
      </c>
      <c r="F81">
        <f>'Week 3'!G23</f>
        <v>0</v>
      </c>
      <c r="G81">
        <f>'Week 3'!H23</f>
        <v>0</v>
      </c>
      <c r="H81">
        <f>'Week 3'!I23</f>
        <v>0</v>
      </c>
      <c r="I81">
        <f>'Week 3'!J23</f>
        <v>0</v>
      </c>
      <c r="J81">
        <f>'Week 3'!K23</f>
        <v>0</v>
      </c>
      <c r="K81">
        <f>'Week 3'!L23</f>
        <v>0</v>
      </c>
      <c r="L81">
        <f>'Week 3'!M23</f>
        <v>0</v>
      </c>
      <c r="N81">
        <f>SUM(E81:I81)/5</f>
        <v>0</v>
      </c>
      <c r="O81">
        <f>SUM(E81:J81)/6</f>
        <v>0</v>
      </c>
      <c r="P81">
        <f>SUM(E81:K81)/7</f>
        <v>0</v>
      </c>
      <c r="R81">
        <f>SUM(R77:R80)</f>
        <v>4</v>
      </c>
      <c r="S81" t="s">
        <v>90</v>
      </c>
    </row>
    <row r="82" spans="2:21" x14ac:dyDescent="0.2">
      <c r="B82" t="str">
        <f>'Week 3'!C24</f>
        <v>6.</v>
      </c>
      <c r="C82" t="str">
        <f>'Week 3'!D24</f>
        <v>How many times did you wake up during the night?</v>
      </c>
      <c r="D82">
        <f>'Week 3'!E24</f>
        <v>2</v>
      </c>
      <c r="E82">
        <f>'Week 3'!F24</f>
        <v>0</v>
      </c>
      <c r="F82">
        <f>'Week 3'!G24</f>
        <v>0</v>
      </c>
      <c r="G82">
        <f>'Week 3'!H24</f>
        <v>0</v>
      </c>
      <c r="H82">
        <f>'Week 3'!I24</f>
        <v>0</v>
      </c>
      <c r="I82">
        <f>'Week 3'!J24</f>
        <v>0</v>
      </c>
      <c r="J82">
        <f>'Week 3'!K24</f>
        <v>0</v>
      </c>
      <c r="K82">
        <f>'Week 3'!L24</f>
        <v>0</v>
      </c>
      <c r="L82">
        <f>'Week 3'!M24</f>
        <v>0</v>
      </c>
      <c r="N82">
        <f t="shared" ref="N82:N83" si="57">SUM(E82:I82)/5</f>
        <v>0</v>
      </c>
      <c r="O82">
        <f t="shared" ref="O82:O83" si="58">SUM(E82:J82)/6</f>
        <v>0</v>
      </c>
      <c r="P82">
        <f t="shared" ref="P82:P83" si="59">SUM(E82:K82)/7</f>
        <v>0</v>
      </c>
      <c r="R82" s="45" t="str">
        <f>'Week 3'!E11</f>
        <v/>
      </c>
      <c r="S82" t="s">
        <v>91</v>
      </c>
    </row>
    <row r="83" spans="2:21" x14ac:dyDescent="0.2">
      <c r="B83" t="str">
        <f>'Week 3'!C25</f>
        <v>7.</v>
      </c>
      <c r="C83" t="str">
        <f>'Week 3'!D25</f>
        <v>In total, how long did these awakening last (in minutes)?</v>
      </c>
      <c r="D83">
        <f>'Week 3'!E25</f>
        <v>60</v>
      </c>
      <c r="E83">
        <f>'Week 3'!F25</f>
        <v>0</v>
      </c>
      <c r="F83">
        <f>'Week 3'!G25</f>
        <v>0</v>
      </c>
      <c r="G83">
        <f>'Week 3'!H25</f>
        <v>0</v>
      </c>
      <c r="H83">
        <f>'Week 3'!I25</f>
        <v>0</v>
      </c>
      <c r="I83">
        <f>'Week 3'!J25</f>
        <v>0</v>
      </c>
      <c r="J83">
        <f>'Week 3'!K25</f>
        <v>0</v>
      </c>
      <c r="K83">
        <f>'Week 3'!L25</f>
        <v>0</v>
      </c>
      <c r="L83">
        <f>'Week 3'!M25</f>
        <v>0</v>
      </c>
      <c r="N83">
        <f t="shared" si="57"/>
        <v>0</v>
      </c>
      <c r="O83">
        <f t="shared" si="58"/>
        <v>0</v>
      </c>
      <c r="P83">
        <f t="shared" si="59"/>
        <v>0</v>
      </c>
    </row>
    <row r="84" spans="2:21" x14ac:dyDescent="0.2">
      <c r="B84" t="str">
        <f>'Week 3'!C26</f>
        <v>8.</v>
      </c>
      <c r="C84" t="str">
        <f>'Week 3'!D26</f>
        <v>What time was your final awakening?</v>
      </c>
      <c r="D84">
        <f>'Week 3'!E26</f>
        <v>0.29166666666666669</v>
      </c>
      <c r="E84">
        <f>'Week 3'!F26</f>
        <v>0</v>
      </c>
      <c r="F84">
        <f>'Week 3'!G26</f>
        <v>0</v>
      </c>
      <c r="G84">
        <f>'Week 3'!H26</f>
        <v>0</v>
      </c>
      <c r="H84">
        <f>'Week 3'!I26</f>
        <v>0</v>
      </c>
      <c r="I84">
        <f>'Week 3'!J26</f>
        <v>0</v>
      </c>
      <c r="J84">
        <f>'Week 3'!K26</f>
        <v>0</v>
      </c>
      <c r="K84">
        <f>'Week 3'!L26</f>
        <v>0</v>
      </c>
      <c r="L84">
        <f>'Week 3'!M26</f>
        <v>0</v>
      </c>
      <c r="N84" t="str">
        <f>IFERROR(TEXT(IF(N90&lt;0,24+N90,N90)/24,"h:mm"),"")</f>
        <v>0:00</v>
      </c>
      <c r="O84" t="str">
        <f t="shared" ref="O84:P84" si="60">IFERROR(TEXT(IF(O90&lt;0,24+O90,O90)/24,"h:mm"),"")</f>
        <v>0:00</v>
      </c>
      <c r="P84" t="str">
        <f t="shared" si="60"/>
        <v>0:00</v>
      </c>
    </row>
    <row r="85" spans="2:21" x14ac:dyDescent="0.2">
      <c r="B85" t="str">
        <f>'Week 3'!C27</f>
        <v>9.</v>
      </c>
      <c r="C85" t="str">
        <f>'Week 3'!D27</f>
        <v>When did you get out of bed to start your day?</v>
      </c>
      <c r="D85">
        <f>'Week 3'!E27</f>
        <v>0.33333333333333331</v>
      </c>
      <c r="E85">
        <f>'Week 3'!F27</f>
        <v>0</v>
      </c>
      <c r="F85">
        <f>'Week 3'!G27</f>
        <v>0</v>
      </c>
      <c r="G85">
        <f>'Week 3'!H27</f>
        <v>0</v>
      </c>
      <c r="H85">
        <f>'Week 3'!I27</f>
        <v>0</v>
      </c>
      <c r="I85">
        <f>'Week 3'!J27</f>
        <v>0</v>
      </c>
      <c r="J85">
        <f>'Week 3'!K27</f>
        <v>0</v>
      </c>
      <c r="K85">
        <f>'Week 3'!L27</f>
        <v>0</v>
      </c>
      <c r="L85">
        <f>'Week 3'!M27</f>
        <v>0</v>
      </c>
      <c r="N85" t="str">
        <f>IFERROR(TEXT(IF(N91&lt;0,24+N91,N91)/24,"h:mm"),"")</f>
        <v>0:00</v>
      </c>
      <c r="O85" t="str">
        <f t="shared" ref="O85:P85" si="61">IFERROR(TEXT(IF(O91&lt;0,24+O91,O91)/24,"h:mm"),"")</f>
        <v>0:00</v>
      </c>
      <c r="P85" t="str">
        <f t="shared" si="61"/>
        <v>0:00</v>
      </c>
    </row>
    <row r="86" spans="2:21" x14ac:dyDescent="0.2">
      <c r="B86" t="str">
        <f>'Week 3'!C29</f>
        <v>11.</v>
      </c>
      <c r="C86" t="str">
        <f>'Week 3'!D29</f>
        <v>How would you rate the quality of your sleep?</v>
      </c>
      <c r="D86" t="str">
        <f>'Week 3'!E29</f>
        <v>Fair</v>
      </c>
      <c r="E86">
        <f>'Week 3'!F29</f>
        <v>0</v>
      </c>
      <c r="F86">
        <f>'Week 3'!G29</f>
        <v>0</v>
      </c>
      <c r="G86">
        <f>'Week 3'!H29</f>
        <v>0</v>
      </c>
      <c r="H86">
        <f>'Week 3'!I29</f>
        <v>0</v>
      </c>
      <c r="I86">
        <f>'Week 3'!J29</f>
        <v>0</v>
      </c>
      <c r="J86">
        <f>'Week 3'!K29</f>
        <v>0</v>
      </c>
      <c r="K86">
        <f>'Week 3'!L29</f>
        <v>0</v>
      </c>
      <c r="L86">
        <f>'Week 3'!M29</f>
        <v>0</v>
      </c>
      <c r="N86">
        <f>SUM(E86:I86)/5</f>
        <v>0</v>
      </c>
      <c r="O86">
        <f t="shared" ref="O86" si="62">SUM(E86:J86)/6</f>
        <v>0</v>
      </c>
      <c r="P86">
        <f t="shared" ref="P86" si="63">SUM(E86:K86)/7</f>
        <v>0</v>
      </c>
      <c r="S86" t="str">
        <f>IF(AND($R$82&gt;=0.85,$R$81&gt;=13),"True","False")</f>
        <v>False</v>
      </c>
      <c r="T86" s="52">
        <v>30</v>
      </c>
      <c r="U86" s="52" t="s">
        <v>99</v>
      </c>
    </row>
    <row r="87" spans="2:21" x14ac:dyDescent="0.2">
      <c r="S87" t="str">
        <f>IF(AND($R$82&gt;=0.85,$R$81&gt;=10),"True","False")</f>
        <v>False</v>
      </c>
      <c r="T87" s="52">
        <v>15</v>
      </c>
      <c r="U87" s="52" t="s">
        <v>100</v>
      </c>
    </row>
    <row r="88" spans="2:21" x14ac:dyDescent="0.2">
      <c r="C88" s="13"/>
      <c r="D88" s="14">
        <f>IF(ISBLANK(D79),"",IF(HOUR(D79)&gt;12,HOUR(D79)+(MINUTE(D79)/60)-24,HOUR(D79)+(MINUTE(D79)/60)))</f>
        <v>-0.5</v>
      </c>
      <c r="E88" s="14">
        <f t="shared" ref="E88:K88" si="64">IF(ISBLANK(E79),"",IF(HOUR(E79)&gt;12,HOUR(E79)+(MINUTE(E79)/60)-24,HOUR(E79)+(MINUTE(E79)/60)))</f>
        <v>0</v>
      </c>
      <c r="F88" s="14">
        <f t="shared" si="64"/>
        <v>0</v>
      </c>
      <c r="G88" s="14">
        <f t="shared" si="64"/>
        <v>0</v>
      </c>
      <c r="H88" s="14">
        <f t="shared" si="64"/>
        <v>0</v>
      </c>
      <c r="I88" s="14">
        <f t="shared" si="64"/>
        <v>0</v>
      </c>
      <c r="J88" s="14">
        <f t="shared" si="64"/>
        <v>0</v>
      </c>
      <c r="K88" s="14">
        <f t="shared" si="64"/>
        <v>0</v>
      </c>
      <c r="L88">
        <f>SUM(E88:K88)/$M$7</f>
        <v>0</v>
      </c>
      <c r="N88">
        <f>SUM(E88:I88)/5</f>
        <v>0</v>
      </c>
      <c r="O88">
        <f>SUM(E88:J88)/6</f>
        <v>0</v>
      </c>
      <c r="P88">
        <f>SUM(E88:K88)/7</f>
        <v>0</v>
      </c>
      <c r="S88" t="str">
        <f>IF(AND($R$82&gt;=0.85,$R$81&lt;=9),"True","False")</f>
        <v>True</v>
      </c>
      <c r="T88" s="52">
        <v>0</v>
      </c>
      <c r="U88" s="52" t="s">
        <v>101</v>
      </c>
    </row>
    <row r="89" spans="2:21" x14ac:dyDescent="0.2">
      <c r="C89" s="13"/>
      <c r="D89" s="14">
        <f>IF(ISBLANK(D80),"",IF(HOUR(D80)&gt;12,HOUR(D80)+(MINUTE(D80)/60)-24,HOUR(D80)+(MINUTE(D80)/60)))</f>
        <v>-0.25</v>
      </c>
      <c r="E89" s="14">
        <f t="shared" ref="E89:K89" si="65">IF(ISBLANK(E80),"",IF(HOUR(E80)&gt;12,HOUR(E80)+(MINUTE(E80)/60)-24,HOUR(E80)+(MINUTE(E80)/60)))</f>
        <v>0</v>
      </c>
      <c r="F89" s="14">
        <f t="shared" si="65"/>
        <v>0</v>
      </c>
      <c r="G89" s="14">
        <f t="shared" si="65"/>
        <v>0</v>
      </c>
      <c r="H89" s="14">
        <f t="shared" si="65"/>
        <v>0</v>
      </c>
      <c r="I89" s="14">
        <f t="shared" si="65"/>
        <v>0</v>
      </c>
      <c r="J89" s="14">
        <f t="shared" si="65"/>
        <v>0</v>
      </c>
      <c r="K89" s="14">
        <f t="shared" si="65"/>
        <v>0</v>
      </c>
      <c r="L89">
        <f t="shared" ref="L89:L93" si="66">SUM(E89:K89)/$M$7</f>
        <v>0</v>
      </c>
      <c r="N89">
        <f>SUM(E89:I89)/5</f>
        <v>0</v>
      </c>
      <c r="O89">
        <f>SUM(E89:J89)/6</f>
        <v>0</v>
      </c>
      <c r="P89">
        <f>SUM(E89:K89)/7</f>
        <v>0</v>
      </c>
      <c r="S89" t="str">
        <f>IF(AND($R$82&gt;=0.8,$R$81&gt;1),"True","False")</f>
        <v>True</v>
      </c>
      <c r="T89" s="52">
        <v>0</v>
      </c>
      <c r="U89" s="52" t="s">
        <v>101</v>
      </c>
    </row>
    <row r="90" spans="2:21" x14ac:dyDescent="0.2">
      <c r="C90" s="13"/>
      <c r="D90" s="14">
        <f>IF(ISBLANK(D84),"",HOUR(D84)+(MINUTE(D84)/60))</f>
        <v>7</v>
      </c>
      <c r="E90" s="14">
        <f t="shared" ref="E90:K90" si="67">IF(ISBLANK(E84),"",HOUR(E84)+(MINUTE(E84)/60))</f>
        <v>0</v>
      </c>
      <c r="F90" s="14">
        <f t="shared" si="67"/>
        <v>0</v>
      </c>
      <c r="G90" s="14">
        <f t="shared" si="67"/>
        <v>0</v>
      </c>
      <c r="H90" s="14">
        <f t="shared" si="67"/>
        <v>0</v>
      </c>
      <c r="I90" s="14">
        <f t="shared" si="67"/>
        <v>0</v>
      </c>
      <c r="J90" s="14">
        <f t="shared" si="67"/>
        <v>0</v>
      </c>
      <c r="K90" s="14">
        <f t="shared" si="67"/>
        <v>0</v>
      </c>
      <c r="L90">
        <f t="shared" si="66"/>
        <v>0</v>
      </c>
      <c r="N90">
        <f>SUM(E90:I90)/5</f>
        <v>0</v>
      </c>
      <c r="O90">
        <f>SUM(E90:J90)/6</f>
        <v>0</v>
      </c>
      <c r="P90">
        <f>SUM(E90:K90)/7</f>
        <v>0</v>
      </c>
      <c r="S90" t="str">
        <f>IF(AND($R$82&lt;0.8,$R$81&gt;9),"True","False")</f>
        <v>False</v>
      </c>
      <c r="T90" s="52">
        <v>0</v>
      </c>
      <c r="U90" s="52" t="s">
        <v>101</v>
      </c>
    </row>
    <row r="91" spans="2:21" x14ac:dyDescent="0.2">
      <c r="C91" s="13"/>
      <c r="D91" s="14">
        <f>IF(ISBLANK(D85),"",HOUR(D85)+(MINUTE(D85)/60))</f>
        <v>8</v>
      </c>
      <c r="E91" s="14">
        <f t="shared" ref="E91:K91" si="68">IF(ISBLANK(E85),"",HOUR(E85)+(MINUTE(E85)/60))</f>
        <v>0</v>
      </c>
      <c r="F91" s="14">
        <f t="shared" si="68"/>
        <v>0</v>
      </c>
      <c r="G91" s="14">
        <f t="shared" si="68"/>
        <v>0</v>
      </c>
      <c r="H91" s="14">
        <f t="shared" si="68"/>
        <v>0</v>
      </c>
      <c r="I91" s="14">
        <f t="shared" si="68"/>
        <v>0</v>
      </c>
      <c r="J91" s="14">
        <f t="shared" si="68"/>
        <v>0</v>
      </c>
      <c r="K91" s="14">
        <f t="shared" si="68"/>
        <v>0</v>
      </c>
      <c r="L91">
        <f t="shared" si="66"/>
        <v>0</v>
      </c>
      <c r="N91">
        <f>SUM(E91:I91)/5</f>
        <v>0</v>
      </c>
      <c r="O91">
        <f>SUM(E91:J91)/6</f>
        <v>0</v>
      </c>
      <c r="P91">
        <f>SUM(E91:K91)/7</f>
        <v>0</v>
      </c>
      <c r="S91" t="str">
        <f>IF(AND($R$82&lt;0.8,$R$81&lt;=9),"True","False")</f>
        <v>False</v>
      </c>
      <c r="T91" s="52">
        <v>-15</v>
      </c>
      <c r="U91" s="52" t="s">
        <v>102</v>
      </c>
    </row>
    <row r="92" spans="2:21" x14ac:dyDescent="0.2">
      <c r="C92" s="13"/>
      <c r="D92" s="14">
        <f>IF(ISBLANK(D80),"", IF(ISBLANK(D85),"",24*IF(D80&gt;D85,D85+1-D80,D85-D80)))</f>
        <v>8.2499999999999964</v>
      </c>
      <c r="E92" s="14">
        <f t="shared" ref="E92:K92" si="69">IF(ISBLANK(E80),"", IF(ISBLANK(E85),"",24*IF(E80&gt;E85,E85+1-E80,E85-E80)))</f>
        <v>0</v>
      </c>
      <c r="F92" s="14">
        <f t="shared" si="69"/>
        <v>0</v>
      </c>
      <c r="G92" s="14">
        <f t="shared" si="69"/>
        <v>0</v>
      </c>
      <c r="H92" s="14">
        <f t="shared" si="69"/>
        <v>0</v>
      </c>
      <c r="I92" s="14">
        <f t="shared" si="69"/>
        <v>0</v>
      </c>
      <c r="J92" s="14">
        <f t="shared" si="69"/>
        <v>0</v>
      </c>
      <c r="K92" s="14">
        <f t="shared" si="69"/>
        <v>0</v>
      </c>
      <c r="L92">
        <f t="shared" si="66"/>
        <v>0</v>
      </c>
    </row>
    <row r="93" spans="2:21" x14ac:dyDescent="0.2">
      <c r="C93" s="13"/>
      <c r="D93" s="14">
        <f>IF(ISBLANK(D94),"",(IF(ISBLANK(D81),"",IF(ISBLANK(D83),"",D92-((D81+D83)/60)-(D91-D90)))))</f>
        <v>5.7499999999999964</v>
      </c>
      <c r="E93" s="14">
        <f t="shared" ref="E93:K93" si="70">IF(ISBLANK(E94),"",(IF(ISBLANK(E81),"",IF(ISBLANK(E83),"",E92-((E81+E83)/60)-(E91-E90)))))</f>
        <v>0</v>
      </c>
      <c r="F93" s="14">
        <f t="shared" si="70"/>
        <v>0</v>
      </c>
      <c r="G93" s="14">
        <f t="shared" si="70"/>
        <v>0</v>
      </c>
      <c r="H93" s="14">
        <f t="shared" si="70"/>
        <v>0</v>
      </c>
      <c r="I93" s="14">
        <f t="shared" si="70"/>
        <v>0</v>
      </c>
      <c r="J93" s="14">
        <f t="shared" si="70"/>
        <v>0</v>
      </c>
      <c r="K93" s="14">
        <f t="shared" si="70"/>
        <v>0</v>
      </c>
      <c r="L93">
        <f t="shared" si="66"/>
        <v>0</v>
      </c>
    </row>
    <row r="94" spans="2:21" x14ac:dyDescent="0.2">
      <c r="C94" s="15" t="s">
        <v>27</v>
      </c>
      <c r="D94" s="38">
        <f>IF(ISBLANK(D80),"", IF(ISBLANK(D85),"",IF(D80&gt;D85,D85+1-D80,D85-D80)))</f>
        <v>0.34374999999999989</v>
      </c>
      <c r="E94" s="38">
        <f>IF(ISBLANK(E80),"", IF(ISBLANK(E85),"",IF(E80&gt;E85,E85+1-E80,E85-E80)))</f>
        <v>0</v>
      </c>
      <c r="F94" s="38">
        <f t="shared" ref="F94:K94" si="71">IF(ISBLANK(F80),"", IF(ISBLANK(F85),"",IF(F80&gt;F85,F85+1-F80,F85-F80)))</f>
        <v>0</v>
      </c>
      <c r="G94" s="38">
        <f t="shared" si="71"/>
        <v>0</v>
      </c>
      <c r="H94" s="38">
        <f t="shared" si="71"/>
        <v>0</v>
      </c>
      <c r="I94" s="38">
        <f t="shared" si="71"/>
        <v>0</v>
      </c>
      <c r="J94" s="38">
        <f t="shared" si="71"/>
        <v>0</v>
      </c>
      <c r="K94" s="38">
        <f t="shared" si="71"/>
        <v>0</v>
      </c>
      <c r="N94" s="42">
        <f t="shared" ref="N94:N95" si="72">SUM(E94:I94)/5</f>
        <v>0</v>
      </c>
      <c r="O94" s="42">
        <f t="shared" ref="O94:O95" si="73">SUM(E94:J94)/6</f>
        <v>0</v>
      </c>
      <c r="P94" s="42">
        <f t="shared" ref="P94:P96" si="74">SUM(E94:K94)/7</f>
        <v>0</v>
      </c>
      <c r="S94" t="b">
        <f>ISNUMBER(MATCH("true",S86:S91,0))</f>
        <v>1</v>
      </c>
    </row>
    <row r="95" spans="2:21" x14ac:dyDescent="0.2">
      <c r="C95" s="15" t="s">
        <v>28</v>
      </c>
      <c r="D95" s="38">
        <f>D93/24</f>
        <v>0.23958333333333318</v>
      </c>
      <c r="E95" s="38">
        <f t="shared" ref="E95:K95" si="75">E93/24</f>
        <v>0</v>
      </c>
      <c r="F95" s="38">
        <f t="shared" si="75"/>
        <v>0</v>
      </c>
      <c r="G95" s="38">
        <f t="shared" si="75"/>
        <v>0</v>
      </c>
      <c r="H95" s="38">
        <f t="shared" si="75"/>
        <v>0</v>
      </c>
      <c r="I95" s="38">
        <f t="shared" si="75"/>
        <v>0</v>
      </c>
      <c r="J95" s="38">
        <f t="shared" si="75"/>
        <v>0</v>
      </c>
      <c r="K95" s="38">
        <f t="shared" si="75"/>
        <v>0</v>
      </c>
      <c r="N95" s="42">
        <f t="shared" si="72"/>
        <v>0</v>
      </c>
      <c r="O95" s="42">
        <f t="shared" si="73"/>
        <v>0</v>
      </c>
      <c r="P95" s="42">
        <f t="shared" si="74"/>
        <v>0</v>
      </c>
      <c r="S95">
        <f>MATCH("true",S86:S91,0)</f>
        <v>3</v>
      </c>
    </row>
    <row r="96" spans="2:21" x14ac:dyDescent="0.2">
      <c r="C96" s="15" t="s">
        <v>29</v>
      </c>
      <c r="D96" s="16">
        <f>IF(ISERROR(D95/D94),"",IF(ISBLANK(D95),"",D95/D94))</f>
        <v>0.69696969696969668</v>
      </c>
      <c r="E96" s="16" t="str">
        <f t="shared" ref="E96:K96" si="76">IF(ISERROR(E95/E94),"",IF(ISBLANK(E95),"",E95/E94))</f>
        <v/>
      </c>
      <c r="F96" s="16" t="str">
        <f t="shared" si="76"/>
        <v/>
      </c>
      <c r="G96" s="16" t="str">
        <f t="shared" si="76"/>
        <v/>
      </c>
      <c r="H96" s="16" t="str">
        <f t="shared" si="76"/>
        <v/>
      </c>
      <c r="I96" s="16" t="str">
        <f t="shared" si="76"/>
        <v/>
      </c>
      <c r="J96" s="16" t="str">
        <f t="shared" si="76"/>
        <v/>
      </c>
      <c r="K96" s="16" t="str">
        <f t="shared" si="76"/>
        <v/>
      </c>
      <c r="N96" s="41">
        <f t="shared" ref="N96" si="77">SUM(E96:I96)/5</f>
        <v>0</v>
      </c>
      <c r="O96" s="41">
        <f t="shared" ref="O96" si="78">SUM(E96:J96)/6</f>
        <v>0</v>
      </c>
      <c r="P96" s="41">
        <f t="shared" si="74"/>
        <v>0</v>
      </c>
      <c r="R96" t="s">
        <v>93</v>
      </c>
      <c r="S96">
        <f>IF(S95=1,T86,IF(S95=2,T87,IF(S95=6,T91,T88)))</f>
        <v>0</v>
      </c>
      <c r="T96">
        <v>15</v>
      </c>
    </row>
    <row r="97" spans="2:21" x14ac:dyDescent="0.2">
      <c r="R97" t="s">
        <v>94</v>
      </c>
      <c r="S97" t="str">
        <f>IF(S95=1,U86,IF(S95=2,U87,IF(S95=6,U91,U88)))</f>
        <v> Do not change your Time in Bed</v>
      </c>
    </row>
    <row r="99" spans="2:21" x14ac:dyDescent="0.2">
      <c r="B99" s="238" t="s">
        <v>59</v>
      </c>
      <c r="C99" s="238"/>
      <c r="D99" s="238"/>
      <c r="G99" t="s">
        <v>70</v>
      </c>
      <c r="H99" s="48">
        <v>0.85</v>
      </c>
    </row>
    <row r="100" spans="2:21" x14ac:dyDescent="0.2">
      <c r="B100" s="43"/>
      <c r="C100" s="43" t="s">
        <v>65</v>
      </c>
      <c r="D100" s="44" t="str">
        <f>IF(M77&lt;5,"",IF(M77=5,N78,IF(M77=6,O78,P78)))</f>
        <v/>
      </c>
      <c r="R100" t="s">
        <v>96</v>
      </c>
    </row>
    <row r="101" spans="2:21" x14ac:dyDescent="0.2">
      <c r="B101" s="43"/>
      <c r="C101" s="43" t="s">
        <v>60</v>
      </c>
      <c r="D101" s="44" t="str">
        <f>IF(M77&lt;5,"",IF(M77=5,N79,IF(M77=6,O79,P79)))</f>
        <v/>
      </c>
      <c r="R101" s="49" t="s">
        <v>115</v>
      </c>
      <c r="S101" s="49" t="str">
        <f>'Week 2'!E6</f>
        <v>*Error in calculation</v>
      </c>
    </row>
    <row r="102" spans="2:21" x14ac:dyDescent="0.2">
      <c r="B102" s="43"/>
      <c r="C102" s="43" t="s">
        <v>61</v>
      </c>
      <c r="D102" s="44" t="str">
        <f>IF(M77&lt;5,"",IF(M77=5,N80,IF(M77=6,O80,P80)))</f>
        <v/>
      </c>
      <c r="R102" t="s">
        <v>116</v>
      </c>
      <c r="S102" s="49" t="str">
        <f>'Week 2'!E7</f>
        <v>*Error in calculation</v>
      </c>
    </row>
    <row r="103" spans="2:21" x14ac:dyDescent="0.2">
      <c r="B103" s="45"/>
      <c r="C103" s="45" t="s">
        <v>62</v>
      </c>
      <c r="D103" s="44" t="str">
        <f>IF(M77&lt;5,"",IF(M77=5,N81,IF(M77=6,O81,P81)))</f>
        <v/>
      </c>
    </row>
    <row r="104" spans="2:21" x14ac:dyDescent="0.2">
      <c r="B104" s="45"/>
      <c r="C104" s="45" t="s">
        <v>63</v>
      </c>
      <c r="D104" s="44" t="str">
        <f>IF(M77&lt;5,"",IF(M77=5,N84,IF(M77=6,O84,P84)))</f>
        <v/>
      </c>
      <c r="R104" t="s">
        <v>97</v>
      </c>
      <c r="S104" s="49" t="e">
        <f>IF(S96&lt;0,S101-TIME(0,15,0),S101+TIME(0,S96,0))</f>
        <v>#VALUE!</v>
      </c>
      <c r="T104" s="49" t="e">
        <f>IF(S104&lt;0.229166666666667,0.229166666666667,S104)</f>
        <v>#VALUE!</v>
      </c>
    </row>
    <row r="105" spans="2:21" x14ac:dyDescent="0.2">
      <c r="B105" s="43"/>
      <c r="C105" s="43" t="s">
        <v>64</v>
      </c>
      <c r="D105" s="44" t="str">
        <f>IF(M77&lt;5,"",IF(M77=5,N85,IF(M77=6,O85,P85)))</f>
        <v/>
      </c>
      <c r="R105" t="s">
        <v>98</v>
      </c>
      <c r="S105" s="49" t="e">
        <f>IF(S96&lt;0,S102+TIME(0,15,0),S102-TIME(0,S96,0))</f>
        <v>#VALUE!</v>
      </c>
      <c r="T105">
        <v>1</v>
      </c>
      <c r="U105" s="49" t="e">
        <f>S42-T104</f>
        <v>#VALUE!</v>
      </c>
    </row>
    <row r="106" spans="2:21" x14ac:dyDescent="0.2">
      <c r="C106" t="s">
        <v>72</v>
      </c>
      <c r="D106" s="49" t="str">
        <f>IF(M77&lt;5,"",IF(M77=5,N95,IF(M77=6,O95,P95)))</f>
        <v/>
      </c>
      <c r="R106" t="s">
        <v>127</v>
      </c>
      <c r="S106" s="49" t="e">
        <f>IF(S104&lt;0.229166666666667,U105,S105)</f>
        <v>#VALUE!</v>
      </c>
      <c r="T106" s="49"/>
    </row>
    <row r="107" spans="2:21" x14ac:dyDescent="0.2">
      <c r="C107" t="s">
        <v>73</v>
      </c>
      <c r="D107" s="50" t="str">
        <f>IF(M77&lt;5,"",IF(M77=5,N96,IF(M77=6,O96,P96)))</f>
        <v/>
      </c>
      <c r="R107" t="s">
        <v>126</v>
      </c>
      <c r="S107" s="61" t="e">
        <f>IF((S106)&lt;0,(S106)+T105,(S106))</f>
        <v>#VALUE!</v>
      </c>
    </row>
    <row r="109" spans="2:21" s="5" customFormat="1" x14ac:dyDescent="0.2"/>
    <row r="110" spans="2:21" x14ac:dyDescent="0.2">
      <c r="B110" t="s">
        <v>125</v>
      </c>
    </row>
    <row r="111" spans="2:21" x14ac:dyDescent="0.2">
      <c r="N111" t="s">
        <v>67</v>
      </c>
      <c r="O111" t="s">
        <v>68</v>
      </c>
      <c r="P111" t="s">
        <v>69</v>
      </c>
    </row>
    <row r="112" spans="2:21" x14ac:dyDescent="0.2">
      <c r="B112" t="str">
        <f>'Week 4'!C18</f>
        <v>Sleep Diary Entry for Week 4</v>
      </c>
      <c r="C112" t="str">
        <f>'Week 4'!D18</f>
        <v>Sleep Diary Entry for Week 4</v>
      </c>
      <c r="D112" t="str">
        <f>'Week 4'!E18</f>
        <v>Sample</v>
      </c>
      <c r="E112" t="str">
        <f>'Week 4'!F18</f>
        <v>Day 1</v>
      </c>
      <c r="F112" t="str">
        <f>'Week 4'!G18</f>
        <v>Day 2</v>
      </c>
      <c r="G112" t="str">
        <f>'Week 4'!H18</f>
        <v>Day 3</v>
      </c>
      <c r="H112" t="str">
        <f>'Week 4'!I18</f>
        <v>Day 4</v>
      </c>
      <c r="I112" t="str">
        <f>'Week 4'!J18</f>
        <v>Day 5</v>
      </c>
      <c r="J112" t="str">
        <f>'Week 4'!K18</f>
        <v>Day 6</v>
      </c>
      <c r="K112" t="str">
        <f>'Week 4'!L18</f>
        <v>Day 7</v>
      </c>
      <c r="L112">
        <f>'Week 4'!M18</f>
        <v>0</v>
      </c>
      <c r="R112" t="s">
        <v>128</v>
      </c>
    </row>
    <row r="113" spans="2:21" x14ac:dyDescent="0.2">
      <c r="B113" t="str">
        <f>'Week 4'!C19</f>
        <v>1.</v>
      </c>
      <c r="C113" t="str">
        <f>'Week 4'!D19</f>
        <v>Date</v>
      </c>
      <c r="D113">
        <f>'Week 4'!E19</f>
        <v>40544</v>
      </c>
      <c r="E113">
        <f>'Week 4'!F19</f>
        <v>0</v>
      </c>
      <c r="F113">
        <f>'Week 4'!G19</f>
        <v>0</v>
      </c>
      <c r="G113">
        <f>'Week 4'!H19</f>
        <v>0</v>
      </c>
      <c r="H113">
        <f>'Week 4'!I19</f>
        <v>0</v>
      </c>
      <c r="I113">
        <f>'Week 4'!J19</f>
        <v>0</v>
      </c>
      <c r="J113">
        <f>'Week 4'!K19</f>
        <v>0</v>
      </c>
      <c r="K113">
        <f>'Week 4'!L19</f>
        <v>0</v>
      </c>
      <c r="L113">
        <f>'Week 4'!M19</f>
        <v>0</v>
      </c>
      <c r="M113">
        <f>SUMPRODUCT(--(LEN(E113:K113)&gt;1))</f>
        <v>0</v>
      </c>
      <c r="N113" t="str">
        <f>IF(M113&lt;5,"",IF(D111=5,"Medium",IF(D111="M","Medium","Large")))</f>
        <v/>
      </c>
      <c r="O113" s="44" t="str">
        <f>D136</f>
        <v/>
      </c>
      <c r="R113">
        <f>IF('Week 4'!E5="Never",1,IF('Week 4'!E5="Rarely ",2,IF('Week 4'!E5="Sometimes ",3,IF('Week 4'!E5="Frequently ",4,IF('Week 4'!E5="Never",5,IF('Week 4'!E5="Always",5))))))</f>
        <v>1</v>
      </c>
    </row>
    <row r="114" spans="2:21" x14ac:dyDescent="0.2">
      <c r="B114" t="str">
        <f>'Week 4'!C20</f>
        <v>2.</v>
      </c>
      <c r="C114" t="str">
        <f>'Week 4'!D20</f>
        <v>How long did you nap or doze yesterday (in minutes)?</v>
      </c>
      <c r="D114">
        <f>'Week 4'!E20</f>
        <v>30</v>
      </c>
      <c r="E114">
        <f>'Week 4'!F20</f>
        <v>0</v>
      </c>
      <c r="F114">
        <f>'Week 4'!G20</f>
        <v>0</v>
      </c>
      <c r="G114">
        <f>'Week 4'!H20</f>
        <v>0</v>
      </c>
      <c r="H114">
        <f>'Week 4'!I20</f>
        <v>0</v>
      </c>
      <c r="I114">
        <f>'Week 4'!J20</f>
        <v>0</v>
      </c>
      <c r="J114">
        <f>'Week 4'!K20</f>
        <v>0</v>
      </c>
      <c r="K114">
        <f>'Week 4'!L20</f>
        <v>0</v>
      </c>
      <c r="L114">
        <f>'Week 4'!M20</f>
        <v>0</v>
      </c>
      <c r="N114">
        <f t="shared" ref="N114" si="79">SUM(E114:I114)/5</f>
        <v>0</v>
      </c>
      <c r="O114">
        <f t="shared" ref="O114" si="80">SUM(E114:J114)/6</f>
        <v>0</v>
      </c>
      <c r="P114">
        <f t="shared" ref="P114" si="81">SUM(E114:K114)/7</f>
        <v>0</v>
      </c>
      <c r="R114">
        <f>IF('Week 4'!E6="Never",1,IF('Week 4'!E6="Rarely ",2,IF('Week 4'!E6="Sometimes ",3,IF('Week 4'!E6="Frequently ",4,IF('Week 4'!E6="Never",5,IF('Week 4'!E6="Always",5))))))</f>
        <v>1</v>
      </c>
    </row>
    <row r="115" spans="2:21" x14ac:dyDescent="0.2">
      <c r="B115" t="str">
        <f>'Week 4'!C21</f>
        <v>3.</v>
      </c>
      <c r="C115" t="str">
        <f>'Week 4'!D21</f>
        <v>What time did you get into bed yesterday?</v>
      </c>
      <c r="D115">
        <f>'Week 4'!E21</f>
        <v>0.97916666666666663</v>
      </c>
      <c r="E115">
        <f>'Week 4'!F21</f>
        <v>0</v>
      </c>
      <c r="F115">
        <f>'Week 4'!G21</f>
        <v>0</v>
      </c>
      <c r="G115">
        <f>'Week 4'!H21</f>
        <v>0</v>
      </c>
      <c r="H115">
        <f>'Week 4'!I21</f>
        <v>0</v>
      </c>
      <c r="I115">
        <f>'Week 4'!J21</f>
        <v>0</v>
      </c>
      <c r="J115">
        <f>'Week 4'!K21</f>
        <v>0</v>
      </c>
      <c r="K115">
        <f>'Week 4'!L21</f>
        <v>0</v>
      </c>
      <c r="L115">
        <f>'Week 4'!M21</f>
        <v>0</v>
      </c>
      <c r="N115" t="str">
        <f t="shared" ref="N115:P115" si="82">IFERROR(TEXT(IF(N124&lt;0,24+N124,N124)/24,"h:mm"),"")</f>
        <v>0:00</v>
      </c>
      <c r="O115" t="str">
        <f t="shared" si="82"/>
        <v>0:00</v>
      </c>
      <c r="P115" t="str">
        <f t="shared" si="82"/>
        <v>0:00</v>
      </c>
      <c r="R115">
        <f>IF('Week 4'!E7="Never",1,IF('Week 4'!E7="Rarely ",2,IF('Week 4'!E7="Sometimes ",3,IF('Week 4'!E7="Frequently ",4,IF('Week 4'!E7="Never",5,IF('Week 4'!E7="Always",5))))))</f>
        <v>1</v>
      </c>
    </row>
    <row r="116" spans="2:21" x14ac:dyDescent="0.2">
      <c r="B116" t="str">
        <f>'Week 4'!C22</f>
        <v>4.</v>
      </c>
      <c r="C116" t="str">
        <f>'Week 4'!D22</f>
        <v>What time did you try to go to sleep?</v>
      </c>
      <c r="D116">
        <f>'Week 4'!E22</f>
        <v>0.98958333333333337</v>
      </c>
      <c r="E116">
        <f>'Week 4'!F22</f>
        <v>0</v>
      </c>
      <c r="F116">
        <f>'Week 4'!G22</f>
        <v>0</v>
      </c>
      <c r="G116">
        <f>'Week 4'!H22</f>
        <v>0</v>
      </c>
      <c r="H116">
        <f>'Week 4'!I22</f>
        <v>0</v>
      </c>
      <c r="I116">
        <f>'Week 4'!J22</f>
        <v>0</v>
      </c>
      <c r="J116">
        <f>'Week 4'!K22</f>
        <v>0</v>
      </c>
      <c r="K116">
        <f>'Week 4'!L22</f>
        <v>0</v>
      </c>
      <c r="L116">
        <f>'Week 4'!M22</f>
        <v>0</v>
      </c>
      <c r="N116" t="str">
        <f t="shared" ref="N116:P116" si="83">IFERROR(TEXT(IF(N125&lt;0,24+N125,N125)/24,"h:mm"),"")</f>
        <v>0:00</v>
      </c>
      <c r="O116" t="str">
        <f t="shared" si="83"/>
        <v>0:00</v>
      </c>
      <c r="P116" t="str">
        <f t="shared" si="83"/>
        <v>0:00</v>
      </c>
      <c r="R116">
        <f>IF('Week 4'!E8="Never",1,IF('Week 4'!E8="Rarely ",2,IF('Week 4'!E8="Sometimes ",3,IF('Week 4'!E8="Frequently ",4,IF('Week 4'!E8="Never",5,IF('Week 4'!E8="Always",5))))))</f>
        <v>1</v>
      </c>
    </row>
    <row r="117" spans="2:21" x14ac:dyDescent="0.2">
      <c r="B117" t="str">
        <f>'Week 4'!C23</f>
        <v>5.</v>
      </c>
      <c r="C117" t="str">
        <f>'Week 4'!D23</f>
        <v>How long did it actually take you to fall asleep (in minutes)?</v>
      </c>
      <c r="D117">
        <f>'Week 4'!E23</f>
        <v>30</v>
      </c>
      <c r="E117">
        <f>'Week 4'!F23</f>
        <v>0</v>
      </c>
      <c r="F117">
        <f>'Week 4'!G23</f>
        <v>0</v>
      </c>
      <c r="G117">
        <f>'Week 4'!H23</f>
        <v>0</v>
      </c>
      <c r="H117">
        <f>'Week 4'!I23</f>
        <v>0</v>
      </c>
      <c r="I117">
        <f>'Week 4'!J23</f>
        <v>0</v>
      </c>
      <c r="J117">
        <f>'Week 4'!K23</f>
        <v>0</v>
      </c>
      <c r="K117">
        <f>'Week 4'!L23</f>
        <v>0</v>
      </c>
      <c r="L117">
        <f>'Week 4'!M23</f>
        <v>0</v>
      </c>
      <c r="N117">
        <f>SUM(E117:I117)/5</f>
        <v>0</v>
      </c>
      <c r="O117">
        <f>SUM(E117:J117)/6</f>
        <v>0</v>
      </c>
      <c r="P117">
        <f>SUM(E117:K117)/7</f>
        <v>0</v>
      </c>
      <c r="R117">
        <f>SUM(R113:R116)</f>
        <v>4</v>
      </c>
      <c r="S117" t="s">
        <v>90</v>
      </c>
    </row>
    <row r="118" spans="2:21" x14ac:dyDescent="0.2">
      <c r="B118" t="str">
        <f>'Week 4'!C24</f>
        <v>6.</v>
      </c>
      <c r="C118" t="str">
        <f>'Week 4'!D24</f>
        <v>How many times did you wake up during the night?</v>
      </c>
      <c r="D118">
        <f>'Week 4'!E24</f>
        <v>2</v>
      </c>
      <c r="E118">
        <f>'Week 4'!F24</f>
        <v>0</v>
      </c>
      <c r="F118">
        <f>'Week 4'!G24</f>
        <v>0</v>
      </c>
      <c r="G118">
        <f>'Week 4'!H24</f>
        <v>0</v>
      </c>
      <c r="H118">
        <f>'Week 4'!I24</f>
        <v>0</v>
      </c>
      <c r="I118">
        <f>'Week 4'!J24</f>
        <v>0</v>
      </c>
      <c r="J118">
        <f>'Week 4'!K24</f>
        <v>0</v>
      </c>
      <c r="K118">
        <f>'Week 4'!L24</f>
        <v>0</v>
      </c>
      <c r="L118">
        <f>'Week 4'!M24</f>
        <v>0</v>
      </c>
      <c r="N118">
        <f t="shared" ref="N118:N119" si="84">SUM(E118:I118)/5</f>
        <v>0</v>
      </c>
      <c r="O118">
        <f t="shared" ref="O118:O119" si="85">SUM(E118:J118)/6</f>
        <v>0</v>
      </c>
      <c r="P118">
        <f t="shared" ref="P118:P119" si="86">SUM(E118:K118)/7</f>
        <v>0</v>
      </c>
      <c r="R118" s="45" t="str">
        <f>'Week 3'!E45</f>
        <v/>
      </c>
      <c r="S118" t="s">
        <v>91</v>
      </c>
    </row>
    <row r="119" spans="2:21" x14ac:dyDescent="0.2">
      <c r="B119" t="str">
        <f>'Week 4'!C25</f>
        <v>7.</v>
      </c>
      <c r="C119" t="str">
        <f>'Week 4'!D25</f>
        <v>In total, how long did these awakening last (in minutes)?</v>
      </c>
      <c r="D119">
        <f>'Week 4'!E25</f>
        <v>60</v>
      </c>
      <c r="E119">
        <f>'Week 4'!F25</f>
        <v>0</v>
      </c>
      <c r="F119">
        <f>'Week 4'!G25</f>
        <v>0</v>
      </c>
      <c r="G119">
        <f>'Week 4'!H25</f>
        <v>0</v>
      </c>
      <c r="H119">
        <f>'Week 4'!I25</f>
        <v>0</v>
      </c>
      <c r="I119">
        <f>'Week 4'!J25</f>
        <v>0</v>
      </c>
      <c r="J119">
        <f>'Week 4'!K25</f>
        <v>0</v>
      </c>
      <c r="K119">
        <f>'Week 4'!L25</f>
        <v>0</v>
      </c>
      <c r="L119">
        <f>'Week 4'!M25</f>
        <v>0</v>
      </c>
      <c r="N119">
        <f t="shared" si="84"/>
        <v>0</v>
      </c>
      <c r="O119">
        <f t="shared" si="85"/>
        <v>0</v>
      </c>
      <c r="P119">
        <f t="shared" si="86"/>
        <v>0</v>
      </c>
    </row>
    <row r="120" spans="2:21" x14ac:dyDescent="0.2">
      <c r="B120" t="str">
        <f>'Week 4'!C26</f>
        <v>8.</v>
      </c>
      <c r="C120" t="str">
        <f>'Week 4'!D26</f>
        <v>What time was your final awakening?</v>
      </c>
      <c r="D120">
        <f>'Week 4'!E26</f>
        <v>0.29166666666666669</v>
      </c>
      <c r="E120">
        <f>'Week 4'!F26</f>
        <v>0</v>
      </c>
      <c r="F120">
        <f>'Week 4'!G26</f>
        <v>0</v>
      </c>
      <c r="G120">
        <f>'Week 4'!H26</f>
        <v>0</v>
      </c>
      <c r="H120">
        <f>'Week 4'!I26</f>
        <v>0</v>
      </c>
      <c r="I120">
        <f>'Week 4'!J26</f>
        <v>0</v>
      </c>
      <c r="J120">
        <f>'Week 4'!K26</f>
        <v>0</v>
      </c>
      <c r="K120">
        <f>'Week 4'!L26</f>
        <v>0</v>
      </c>
      <c r="L120">
        <f>'Week 4'!M26</f>
        <v>0</v>
      </c>
      <c r="N120" t="str">
        <f>IFERROR(TEXT(IF(N126&lt;0,24+N126,N126)/24,"h:mm"),"")</f>
        <v>0:00</v>
      </c>
      <c r="O120" t="str">
        <f t="shared" ref="O120:P120" si="87">IFERROR(TEXT(IF(O126&lt;0,24+O126,O126)/24,"h:mm"),"")</f>
        <v>0:00</v>
      </c>
      <c r="P120" t="str">
        <f t="shared" si="87"/>
        <v>0:00</v>
      </c>
    </row>
    <row r="121" spans="2:21" x14ac:dyDescent="0.2">
      <c r="B121" t="str">
        <f>'Week 4'!C27</f>
        <v>9.</v>
      </c>
      <c r="C121" t="str">
        <f>'Week 4'!D27</f>
        <v>When did you get out of bed to start your day?</v>
      </c>
      <c r="D121">
        <f>'Week 4'!E27</f>
        <v>0.33333333333333331</v>
      </c>
      <c r="E121">
        <f>'Week 4'!F27</f>
        <v>0</v>
      </c>
      <c r="F121">
        <f>'Week 4'!G27</f>
        <v>0</v>
      </c>
      <c r="G121">
        <f>'Week 4'!H27</f>
        <v>0</v>
      </c>
      <c r="H121">
        <f>'Week 4'!I27</f>
        <v>0</v>
      </c>
      <c r="I121">
        <f>'Week 4'!J27</f>
        <v>0</v>
      </c>
      <c r="J121">
        <f>'Week 4'!K27</f>
        <v>0</v>
      </c>
      <c r="K121">
        <f>'Week 4'!L27</f>
        <v>0</v>
      </c>
      <c r="L121">
        <f>'Week 4'!M27</f>
        <v>0</v>
      </c>
      <c r="N121" t="str">
        <f>IFERROR(TEXT(IF(N127&lt;0,24+N127,N127)/24,"h:mm"),"")</f>
        <v>0:00</v>
      </c>
      <c r="O121" t="str">
        <f t="shared" ref="O121:P121" si="88">IFERROR(TEXT(IF(O127&lt;0,24+O127,O127)/24,"h:mm"),"")</f>
        <v>0:00</v>
      </c>
      <c r="P121" t="str">
        <f t="shared" si="88"/>
        <v>0:00</v>
      </c>
    </row>
    <row r="122" spans="2:21" x14ac:dyDescent="0.2">
      <c r="B122" t="str">
        <f>'Week 4'!C28</f>
        <v>10.</v>
      </c>
      <c r="C122" t="str">
        <f>'Week 4'!D28</f>
        <v>How long did you wakeup earlier than desired (in minutes)?</v>
      </c>
      <c r="D122">
        <f>'Week 4'!E28</f>
        <v>30</v>
      </c>
      <c r="E122">
        <f>'Week 4'!F28</f>
        <v>0</v>
      </c>
      <c r="F122">
        <f>'Week 4'!G28</f>
        <v>0</v>
      </c>
      <c r="G122">
        <f>'Week 4'!H28</f>
        <v>0</v>
      </c>
      <c r="H122">
        <f>'Week 4'!I28</f>
        <v>0</v>
      </c>
      <c r="I122">
        <f>'Week 4'!J28</f>
        <v>0</v>
      </c>
      <c r="J122">
        <f>'Week 4'!K28</f>
        <v>0</v>
      </c>
      <c r="K122">
        <f>'Week 4'!L28</f>
        <v>0</v>
      </c>
      <c r="L122">
        <f>'Week 4'!M28</f>
        <v>0</v>
      </c>
      <c r="N122">
        <f>SUM(E122:I122)/5</f>
        <v>0</v>
      </c>
      <c r="O122">
        <f t="shared" ref="O122" si="89">SUM(E122:J122)/6</f>
        <v>0</v>
      </c>
      <c r="P122">
        <f t="shared" ref="P122" si="90">SUM(E122:K122)/7</f>
        <v>0</v>
      </c>
      <c r="S122" t="str">
        <f>IF(AND(R118&gt;=0.85,R117&gt;=13),"True","False")</f>
        <v>False</v>
      </c>
      <c r="T122" s="52">
        <v>30</v>
      </c>
      <c r="U122" s="52" t="s">
        <v>99</v>
      </c>
    </row>
    <row r="123" spans="2:21" x14ac:dyDescent="0.2">
      <c r="S123" t="str">
        <f>IF(AND(R118&gt;=0.85,R117&gt;=10),"True","False")</f>
        <v>False</v>
      </c>
      <c r="T123" s="52">
        <v>15</v>
      </c>
      <c r="U123" s="52" t="s">
        <v>100</v>
      </c>
    </row>
    <row r="124" spans="2:21" x14ac:dyDescent="0.2">
      <c r="C124" s="13"/>
      <c r="D124" s="14">
        <f>IF(ISBLANK(D115),"",IF(HOUR(D115)&gt;12,HOUR(D115)+(MINUTE(D115)/60)-24,HOUR(D115)+(MINUTE(D115)/60)))</f>
        <v>-0.5</v>
      </c>
      <c r="E124" s="14">
        <f t="shared" ref="E124:K124" si="91">IF(ISBLANK(E115),"",IF(HOUR(E115)&gt;12,HOUR(E115)+(MINUTE(E115)/60)-24,HOUR(E115)+(MINUTE(E115)/60)))</f>
        <v>0</v>
      </c>
      <c r="F124" s="14">
        <f t="shared" si="91"/>
        <v>0</v>
      </c>
      <c r="G124" s="14">
        <f t="shared" si="91"/>
        <v>0</v>
      </c>
      <c r="H124" s="14">
        <f t="shared" si="91"/>
        <v>0</v>
      </c>
      <c r="I124" s="14">
        <f t="shared" si="91"/>
        <v>0</v>
      </c>
      <c r="J124" s="14">
        <f t="shared" si="91"/>
        <v>0</v>
      </c>
      <c r="K124" s="14">
        <f t="shared" si="91"/>
        <v>0</v>
      </c>
      <c r="L124">
        <f>SUM(E124:K124)/$M$7</f>
        <v>0</v>
      </c>
      <c r="N124">
        <f>SUM(E124:I124)/5</f>
        <v>0</v>
      </c>
      <c r="O124">
        <f>SUM(E124:J124)/6</f>
        <v>0</v>
      </c>
      <c r="P124">
        <f>SUM(E124:K124)/7</f>
        <v>0</v>
      </c>
      <c r="S124" t="str">
        <f>IF(AND(R118&gt;=0.85,R117&lt;=9),"True","False")</f>
        <v>True</v>
      </c>
      <c r="T124" s="52">
        <v>0</v>
      </c>
      <c r="U124" s="52" t="s">
        <v>101</v>
      </c>
    </row>
    <row r="125" spans="2:21" x14ac:dyDescent="0.2">
      <c r="C125" s="13"/>
      <c r="D125" s="14">
        <f>IF(ISBLANK(D116),"",IF(HOUR(D116)&gt;12,HOUR(D116)+(MINUTE(D116)/60)-24,HOUR(D116)+(MINUTE(D116)/60)))</f>
        <v>-0.25</v>
      </c>
      <c r="E125" s="14">
        <f t="shared" ref="E125:K125" si="92">IF(ISBLANK(E116),"",IF(HOUR(E116)&gt;12,HOUR(E116)+(MINUTE(E116)/60)-24,HOUR(E116)+(MINUTE(E116)/60)))</f>
        <v>0</v>
      </c>
      <c r="F125" s="14">
        <f t="shared" si="92"/>
        <v>0</v>
      </c>
      <c r="G125" s="14">
        <f t="shared" si="92"/>
        <v>0</v>
      </c>
      <c r="H125" s="14">
        <f t="shared" si="92"/>
        <v>0</v>
      </c>
      <c r="I125" s="14">
        <f t="shared" si="92"/>
        <v>0</v>
      </c>
      <c r="J125" s="14">
        <f t="shared" si="92"/>
        <v>0</v>
      </c>
      <c r="K125" s="14">
        <f t="shared" si="92"/>
        <v>0</v>
      </c>
      <c r="L125">
        <f t="shared" ref="L125:L129" si="93">SUM(E125:K125)/$M$7</f>
        <v>0</v>
      </c>
      <c r="N125">
        <f>SUM(E125:I125)/5</f>
        <v>0</v>
      </c>
      <c r="O125">
        <f>SUM(E125:J125)/6</f>
        <v>0</v>
      </c>
      <c r="P125">
        <f>SUM(E125:K125)/7</f>
        <v>0</v>
      </c>
      <c r="S125" t="str">
        <f>IF(AND(R118&gt;=0.8,R117&gt;1),"True","False")</f>
        <v>True</v>
      </c>
      <c r="T125" s="52">
        <v>0</v>
      </c>
      <c r="U125" s="52" t="s">
        <v>101</v>
      </c>
    </row>
    <row r="126" spans="2:21" x14ac:dyDescent="0.2">
      <c r="C126" s="13"/>
      <c r="D126" s="14">
        <f>IF(ISBLANK(D120),"",HOUR(D120)+(MINUTE(D120)/60))</f>
        <v>7</v>
      </c>
      <c r="E126" s="14">
        <f t="shared" ref="E126:K126" si="94">IF(ISBLANK(E120),"",HOUR(E120)+(MINUTE(E120)/60))</f>
        <v>0</v>
      </c>
      <c r="F126" s="14">
        <f t="shared" si="94"/>
        <v>0</v>
      </c>
      <c r="G126" s="14">
        <f t="shared" si="94"/>
        <v>0</v>
      </c>
      <c r="H126" s="14">
        <f t="shared" si="94"/>
        <v>0</v>
      </c>
      <c r="I126" s="14">
        <f t="shared" si="94"/>
        <v>0</v>
      </c>
      <c r="J126" s="14">
        <f t="shared" si="94"/>
        <v>0</v>
      </c>
      <c r="K126" s="14">
        <f t="shared" si="94"/>
        <v>0</v>
      </c>
      <c r="L126">
        <f t="shared" si="93"/>
        <v>0</v>
      </c>
      <c r="N126">
        <f>SUM(E126:I126)/5</f>
        <v>0</v>
      </c>
      <c r="O126">
        <f>SUM(E126:J126)/6</f>
        <v>0</v>
      </c>
      <c r="P126">
        <f>SUM(E126:K126)/7</f>
        <v>0</v>
      </c>
      <c r="S126" t="str">
        <f>IF(AND(R118&lt;0.8,R117&gt;9),"True","False")</f>
        <v>False</v>
      </c>
      <c r="T126" s="52">
        <v>0</v>
      </c>
      <c r="U126" s="52" t="s">
        <v>101</v>
      </c>
    </row>
    <row r="127" spans="2:21" x14ac:dyDescent="0.2">
      <c r="C127" s="13"/>
      <c r="D127" s="14">
        <f>IF(ISBLANK(D121),"",HOUR(D121)+(MINUTE(D121)/60))</f>
        <v>8</v>
      </c>
      <c r="E127" s="14">
        <f t="shared" ref="E127:K127" si="95">IF(ISBLANK(E121),"",HOUR(E121)+(MINUTE(E121)/60))</f>
        <v>0</v>
      </c>
      <c r="F127" s="14">
        <f t="shared" si="95"/>
        <v>0</v>
      </c>
      <c r="G127" s="14">
        <f t="shared" si="95"/>
        <v>0</v>
      </c>
      <c r="H127" s="14">
        <f t="shared" si="95"/>
        <v>0</v>
      </c>
      <c r="I127" s="14">
        <f t="shared" si="95"/>
        <v>0</v>
      </c>
      <c r="J127" s="14">
        <f t="shared" si="95"/>
        <v>0</v>
      </c>
      <c r="K127" s="14">
        <f t="shared" si="95"/>
        <v>0</v>
      </c>
      <c r="L127">
        <f t="shared" si="93"/>
        <v>0</v>
      </c>
      <c r="N127">
        <f>SUM(E127:I127)/5</f>
        <v>0</v>
      </c>
      <c r="O127">
        <f>SUM(E127:J127)/6</f>
        <v>0</v>
      </c>
      <c r="P127">
        <f>SUM(E127:K127)/7</f>
        <v>0</v>
      </c>
      <c r="S127" t="str">
        <f>IF(AND(R118&lt;0.8,R117&lt;=9),"True","False")</f>
        <v>False</v>
      </c>
      <c r="T127" s="52">
        <v>-15</v>
      </c>
      <c r="U127" s="52" t="s">
        <v>102</v>
      </c>
    </row>
    <row r="128" spans="2:21" x14ac:dyDescent="0.2">
      <c r="C128" s="13"/>
      <c r="D128" s="14">
        <f>IF(ISBLANK(D116),"", IF(ISBLANK(D121),"",24*IF(D116&gt;D121,D121+1-D116,D121-D116)))</f>
        <v>8.2499999999999964</v>
      </c>
      <c r="E128" s="14">
        <f t="shared" ref="E128:K128" si="96">IF(ISBLANK(E116),"", IF(ISBLANK(E121),"",24*IF(E116&gt;E121,E121+1-E116,E121-E116)))</f>
        <v>0</v>
      </c>
      <c r="F128" s="14">
        <f t="shared" si="96"/>
        <v>0</v>
      </c>
      <c r="G128" s="14">
        <f t="shared" si="96"/>
        <v>0</v>
      </c>
      <c r="H128" s="14">
        <f t="shared" si="96"/>
        <v>0</v>
      </c>
      <c r="I128" s="14">
        <f t="shared" si="96"/>
        <v>0</v>
      </c>
      <c r="J128" s="14">
        <f t="shared" si="96"/>
        <v>0</v>
      </c>
      <c r="K128" s="14">
        <f t="shared" si="96"/>
        <v>0</v>
      </c>
      <c r="L128">
        <f t="shared" si="93"/>
        <v>0</v>
      </c>
    </row>
    <row r="129" spans="2:21" x14ac:dyDescent="0.2">
      <c r="C129" s="13"/>
      <c r="D129" s="14">
        <f>IF(ISBLANK(D130),"",(IF(ISBLANK(D117),"",IF(ISBLANK(D119),"",D128-((D117+D119)/60)-(D127-D126)))))</f>
        <v>5.7499999999999964</v>
      </c>
      <c r="E129" s="14">
        <f t="shared" ref="E129:K129" si="97">IF(ISBLANK(E130),"",(IF(ISBLANK(E117),"",IF(ISBLANK(E119),"",E128-((E117+E119)/60)-(E127-E126)))))</f>
        <v>0</v>
      </c>
      <c r="F129" s="14">
        <f t="shared" si="97"/>
        <v>0</v>
      </c>
      <c r="G129" s="14">
        <f t="shared" si="97"/>
        <v>0</v>
      </c>
      <c r="H129" s="14">
        <f t="shared" si="97"/>
        <v>0</v>
      </c>
      <c r="I129" s="14">
        <f t="shared" si="97"/>
        <v>0</v>
      </c>
      <c r="J129" s="14">
        <f t="shared" si="97"/>
        <v>0</v>
      </c>
      <c r="K129" s="14">
        <f t="shared" si="97"/>
        <v>0</v>
      </c>
      <c r="L129">
        <f t="shared" si="93"/>
        <v>0</v>
      </c>
    </row>
    <row r="130" spans="2:21" x14ac:dyDescent="0.2">
      <c r="C130" s="15" t="s">
        <v>27</v>
      </c>
      <c r="D130" s="38">
        <f>IF(ISBLANK(D116),"", IF(ISBLANK(D121),"",IF(D116&gt;D121,D121+1-D116,D121-D116)))</f>
        <v>0.34374999999999989</v>
      </c>
      <c r="E130" s="38">
        <f>IF(ISBLANK(E116),"", IF(ISBLANK(E121),"",IF(E116&gt;E121,E121+1-E116,E121-E116)))</f>
        <v>0</v>
      </c>
      <c r="F130" s="38">
        <f t="shared" ref="F130:K130" si="98">IF(ISBLANK(F116),"", IF(ISBLANK(F121),"",IF(F116&gt;F121,F121+1-F116,F121-F116)))</f>
        <v>0</v>
      </c>
      <c r="G130" s="38">
        <f t="shared" si="98"/>
        <v>0</v>
      </c>
      <c r="H130" s="38">
        <f t="shared" si="98"/>
        <v>0</v>
      </c>
      <c r="I130" s="38">
        <f t="shared" si="98"/>
        <v>0</v>
      </c>
      <c r="J130" s="38">
        <f t="shared" si="98"/>
        <v>0</v>
      </c>
      <c r="K130" s="38">
        <f t="shared" si="98"/>
        <v>0</v>
      </c>
      <c r="N130" s="42">
        <f t="shared" ref="N130:N131" si="99">SUM(E130:I130)/5</f>
        <v>0</v>
      </c>
      <c r="O130" s="42">
        <f t="shared" ref="O130:O131" si="100">SUM(E130:J130)/6</f>
        <v>0</v>
      </c>
      <c r="P130" s="42">
        <f t="shared" ref="P130:P132" si="101">SUM(E130:K130)/7</f>
        <v>0</v>
      </c>
      <c r="S130" t="b">
        <f>ISNUMBER(MATCH("true",S122:S127,0))</f>
        <v>1</v>
      </c>
    </row>
    <row r="131" spans="2:21" x14ac:dyDescent="0.2">
      <c r="C131" s="15" t="s">
        <v>28</v>
      </c>
      <c r="D131" s="38">
        <f>D129/24</f>
        <v>0.23958333333333318</v>
      </c>
      <c r="E131" s="38">
        <f t="shared" ref="E131:K131" si="102">E129/24</f>
        <v>0</v>
      </c>
      <c r="F131" s="38">
        <f t="shared" si="102"/>
        <v>0</v>
      </c>
      <c r="G131" s="38">
        <f t="shared" si="102"/>
        <v>0</v>
      </c>
      <c r="H131" s="38">
        <f t="shared" si="102"/>
        <v>0</v>
      </c>
      <c r="I131" s="38">
        <f t="shared" si="102"/>
        <v>0</v>
      </c>
      <c r="J131" s="38">
        <f t="shared" si="102"/>
        <v>0</v>
      </c>
      <c r="K131" s="38">
        <f t="shared" si="102"/>
        <v>0</v>
      </c>
      <c r="N131" s="42">
        <f t="shared" si="99"/>
        <v>0</v>
      </c>
      <c r="O131" s="42">
        <f t="shared" si="100"/>
        <v>0</v>
      </c>
      <c r="P131" s="42">
        <f t="shared" si="101"/>
        <v>0</v>
      </c>
      <c r="S131">
        <f>MATCH("true",S122:S127,0)</f>
        <v>3</v>
      </c>
    </row>
    <row r="132" spans="2:21" x14ac:dyDescent="0.2">
      <c r="C132" s="15" t="s">
        <v>29</v>
      </c>
      <c r="D132" s="16">
        <f>IF(ISERROR(D131/D130),"",IF(ISBLANK(D131),"",D131/D130))</f>
        <v>0.69696969696969668</v>
      </c>
      <c r="E132" s="16" t="str">
        <f t="shared" ref="E132:K132" si="103">IF(ISERROR(E131/E130),"",IF(ISBLANK(E131),"",E131/E130))</f>
        <v/>
      </c>
      <c r="F132" s="16" t="str">
        <f t="shared" si="103"/>
        <v/>
      </c>
      <c r="G132" s="16" t="str">
        <f t="shared" si="103"/>
        <v/>
      </c>
      <c r="H132" s="16" t="str">
        <f t="shared" si="103"/>
        <v/>
      </c>
      <c r="I132" s="16" t="str">
        <f t="shared" si="103"/>
        <v/>
      </c>
      <c r="J132" s="16" t="str">
        <f t="shared" si="103"/>
        <v/>
      </c>
      <c r="K132" s="16" t="str">
        <f t="shared" si="103"/>
        <v/>
      </c>
      <c r="N132" s="41">
        <f t="shared" ref="N132" si="104">SUM(E132:I132)/5</f>
        <v>0</v>
      </c>
      <c r="O132" s="41">
        <f t="shared" ref="O132" si="105">SUM(E132:J132)/6</f>
        <v>0</v>
      </c>
      <c r="P132" s="41">
        <f t="shared" si="101"/>
        <v>0</v>
      </c>
      <c r="R132" t="s">
        <v>93</v>
      </c>
      <c r="S132">
        <f>IF(S131=1,T122,IF(S131=2,T123,IF(S131=6,T127,T124)))</f>
        <v>0</v>
      </c>
      <c r="T132">
        <v>15</v>
      </c>
    </row>
    <row r="133" spans="2:21" x14ac:dyDescent="0.2">
      <c r="R133" t="s">
        <v>94</v>
      </c>
      <c r="S133" t="str">
        <f>IF(S131=1,U122,IF(S131=2,U123,IF(S131=6,U127,U124)))</f>
        <v> Do not change your Time in Bed</v>
      </c>
    </row>
    <row r="135" spans="2:21" x14ac:dyDescent="0.2">
      <c r="B135" s="238" t="s">
        <v>59</v>
      </c>
      <c r="C135" s="238"/>
      <c r="D135" s="238"/>
      <c r="G135" t="s">
        <v>70</v>
      </c>
      <c r="H135" s="48">
        <v>0.85</v>
      </c>
    </row>
    <row r="136" spans="2:21" x14ac:dyDescent="0.2">
      <c r="B136" s="43"/>
      <c r="C136" s="43" t="s">
        <v>65</v>
      </c>
      <c r="D136" s="44" t="str">
        <f>IF(M113&lt;5,"",IF(M113=5,N114,IF(M113=6,O114,P114)))</f>
        <v/>
      </c>
      <c r="R136" t="s">
        <v>96</v>
      </c>
    </row>
    <row r="137" spans="2:21" x14ac:dyDescent="0.2">
      <c r="B137" s="43"/>
      <c r="C137" s="43" t="s">
        <v>60</v>
      </c>
      <c r="D137" s="44" t="str">
        <f>IF(M113&lt;5,"",IF(M113=5,N115,IF(M113=6,O115,P115)))</f>
        <v/>
      </c>
      <c r="R137" s="49" t="s">
        <v>117</v>
      </c>
      <c r="S137" s="49" t="str">
        <f>'Week 3'!E13</f>
        <v>*Error in calculation</v>
      </c>
    </row>
    <row r="138" spans="2:21" x14ac:dyDescent="0.2">
      <c r="B138" s="43"/>
      <c r="C138" s="43" t="s">
        <v>61</v>
      </c>
      <c r="D138" s="44" t="str">
        <f>IF(M113&lt;5,"",IF(M113=5,N116,IF(M113=6,O116,P116)))</f>
        <v/>
      </c>
      <c r="R138" t="s">
        <v>118</v>
      </c>
      <c r="S138" s="49" t="str">
        <f>'Week 3'!E14</f>
        <v>*Error in calculation</v>
      </c>
    </row>
    <row r="139" spans="2:21" x14ac:dyDescent="0.2">
      <c r="B139" s="45"/>
      <c r="C139" s="45" t="s">
        <v>62</v>
      </c>
      <c r="D139" s="44" t="str">
        <f>IF(M113&lt;5,"",IF(M113=5,N117,IF(M113=6,O117,P117)))</f>
        <v/>
      </c>
    </row>
    <row r="140" spans="2:21" x14ac:dyDescent="0.2">
      <c r="B140" s="45"/>
      <c r="C140" s="45" t="s">
        <v>63</v>
      </c>
      <c r="D140" s="44" t="str">
        <f>IF(M113&lt;5,"",IF(M113=5,N120,IF(M113=6,O120,P120)))</f>
        <v/>
      </c>
      <c r="R140" t="s">
        <v>97</v>
      </c>
      <c r="S140" s="49" t="e">
        <f>IF(S132&lt;0,S137-TIME(0,15,0),S137+TIME(0,S132,0))</f>
        <v>#VALUE!</v>
      </c>
      <c r="T140" s="49" t="e">
        <f>IF(S140&lt;0.229166666666667,0.229166666666667,S140)</f>
        <v>#VALUE!</v>
      </c>
    </row>
    <row r="141" spans="2:21" x14ac:dyDescent="0.2">
      <c r="B141" s="43"/>
      <c r="C141" s="43" t="s">
        <v>64</v>
      </c>
      <c r="D141" s="44" t="str">
        <f>IF(M113&lt;5,"",IF(M113=5,N121,IF(M113=6,O121,P121)))</f>
        <v/>
      </c>
      <c r="R141" t="s">
        <v>98</v>
      </c>
      <c r="S141" s="49" t="e">
        <f>IF(S132&lt;0,S138+TIME(0,15,0),S138-TIME(0,S132,0))</f>
        <v>#VALUE!</v>
      </c>
      <c r="T141">
        <v>1</v>
      </c>
      <c r="U141" s="49" t="e">
        <f>S42-T140</f>
        <v>#VALUE!</v>
      </c>
    </row>
    <row r="142" spans="2:21" x14ac:dyDescent="0.2">
      <c r="C142" t="s">
        <v>72</v>
      </c>
      <c r="D142" s="49" t="str">
        <f>IF(M113&lt;5,"",IF(M113=5,N131,IF(M113=6,O131,P131)))</f>
        <v/>
      </c>
      <c r="R142" t="s">
        <v>127</v>
      </c>
      <c r="S142" s="49" t="e">
        <f>IF(S140&lt;0.229166666666667,U141,S141)</f>
        <v>#VALUE!</v>
      </c>
    </row>
    <row r="143" spans="2:21" x14ac:dyDescent="0.2">
      <c r="C143" t="s">
        <v>73</v>
      </c>
      <c r="D143" s="50" t="str">
        <f>IF(M113&lt;5,"",IF(M113=5,N132,IF(M113=6,O132,P132)))</f>
        <v/>
      </c>
      <c r="R143" t="s">
        <v>126</v>
      </c>
      <c r="S143" s="61" t="e">
        <f>IF((S142)&lt;0,(S142)+T141,(S142))</f>
        <v>#VALUE!</v>
      </c>
    </row>
    <row r="145" spans="2:21" s="5" customFormat="1" x14ac:dyDescent="0.2"/>
    <row r="146" spans="2:21" x14ac:dyDescent="0.2">
      <c r="B146" t="s">
        <v>129</v>
      </c>
    </row>
    <row r="147" spans="2:21" x14ac:dyDescent="0.2">
      <c r="N147" t="s">
        <v>67</v>
      </c>
      <c r="O147" t="s">
        <v>68</v>
      </c>
      <c r="P147" t="s">
        <v>69</v>
      </c>
    </row>
    <row r="148" spans="2:21" x14ac:dyDescent="0.2">
      <c r="B148" t="str">
        <f>'Week 5'!C18</f>
        <v>Sleep Diary Entry for Week 5</v>
      </c>
      <c r="C148" t="str">
        <f>'Week 5'!D18</f>
        <v>Sleep Diary Entry for Week 5</v>
      </c>
      <c r="D148" t="str">
        <f>'Week 5'!E18</f>
        <v>Sample</v>
      </c>
      <c r="E148" t="str">
        <f>'Week 5'!F18</f>
        <v>Day 1</v>
      </c>
      <c r="F148" t="str">
        <f>'Week 5'!G18</f>
        <v>Day 2</v>
      </c>
      <c r="G148" t="str">
        <f>'Week 5'!H18</f>
        <v>Day 3</v>
      </c>
      <c r="H148" t="str">
        <f>'Week 5'!I18</f>
        <v>Day 4</v>
      </c>
      <c r="I148" t="str">
        <f>'Week 5'!J18</f>
        <v>Day 5</v>
      </c>
      <c r="J148" t="str">
        <f>'Week 5'!K18</f>
        <v>Day 6</v>
      </c>
      <c r="K148" t="str">
        <f>'Week 5'!L18</f>
        <v>Day 7</v>
      </c>
      <c r="L148">
        <f>'Week 5'!M18</f>
        <v>0</v>
      </c>
      <c r="R148" t="s">
        <v>131</v>
      </c>
    </row>
    <row r="149" spans="2:21" x14ac:dyDescent="0.2">
      <c r="B149" t="str">
        <f>'Week 5'!C19</f>
        <v>1.</v>
      </c>
      <c r="C149" t="str">
        <f>'Week 5'!D19</f>
        <v>Date</v>
      </c>
      <c r="D149">
        <f>'Week 5'!E19</f>
        <v>40544</v>
      </c>
      <c r="E149">
        <f>'Week 5'!F19</f>
        <v>0</v>
      </c>
      <c r="F149">
        <f>'Week 5'!G19</f>
        <v>0</v>
      </c>
      <c r="G149">
        <f>'Week 5'!H19</f>
        <v>0</v>
      </c>
      <c r="H149">
        <f>'Week 5'!I19</f>
        <v>0</v>
      </c>
      <c r="I149">
        <f>'Week 5'!J19</f>
        <v>0</v>
      </c>
      <c r="J149">
        <f>'Week 5'!K19</f>
        <v>0</v>
      </c>
      <c r="K149">
        <f>'Week 5'!L19</f>
        <v>0</v>
      </c>
      <c r="L149">
        <f>'Week 5'!M19</f>
        <v>0</v>
      </c>
      <c r="M149">
        <f>SUMPRODUCT(--(LEN(E149:K149)&gt;1))</f>
        <v>0</v>
      </c>
      <c r="N149" t="str">
        <f>IF(M149&lt;5,"",IF(D147=5,"Medium",IF(D147="M","Medium","Large")))</f>
        <v/>
      </c>
      <c r="O149" s="44" t="str">
        <f>D172</f>
        <v/>
      </c>
      <c r="R149">
        <f>IF('Week 5'!E5="Never",1,IF('Week 5'!E5="Rarely ",2,IF('Week 5'!E5="Sometimes ",3,IF('Week 5'!E5="Frequently ",4,IF('Week 5'!E5="Never",5,IF('Week 5'!E5="Always",5))))))</f>
        <v>1</v>
      </c>
    </row>
    <row r="150" spans="2:21" x14ac:dyDescent="0.2">
      <c r="B150" t="str">
        <f>'Week 5'!C20</f>
        <v>2.</v>
      </c>
      <c r="C150" t="str">
        <f>'Week 5'!D20</f>
        <v>How long did you nap or doze yesterday (in minutes)?</v>
      </c>
      <c r="D150">
        <f>'Week 5'!E20</f>
        <v>30</v>
      </c>
      <c r="E150">
        <f>'Week 5'!F20</f>
        <v>0</v>
      </c>
      <c r="F150">
        <f>'Week 5'!G20</f>
        <v>0</v>
      </c>
      <c r="G150">
        <f>'Week 5'!H20</f>
        <v>0</v>
      </c>
      <c r="H150">
        <f>'Week 5'!I20</f>
        <v>0</v>
      </c>
      <c r="I150">
        <f>'Week 5'!J20</f>
        <v>0</v>
      </c>
      <c r="J150">
        <f>'Week 5'!K20</f>
        <v>0</v>
      </c>
      <c r="K150">
        <f>'Week 5'!L20</f>
        <v>0</v>
      </c>
      <c r="L150">
        <f>'Week 5'!M20</f>
        <v>0</v>
      </c>
      <c r="N150">
        <f t="shared" ref="N150" si="106">SUM(E150:I150)/5</f>
        <v>0</v>
      </c>
      <c r="O150">
        <f t="shared" ref="O150" si="107">SUM(E150:J150)/6</f>
        <v>0</v>
      </c>
      <c r="P150">
        <f t="shared" ref="P150" si="108">SUM(E150:K150)/7</f>
        <v>0</v>
      </c>
      <c r="R150">
        <f>IF('Week 5'!E6="Never",1,IF('Week 5'!E6="Rarely ",2,IF('Week 5'!E6="Sometimes ",3,IF('Week 5'!E6="Frequently ",4,IF('Week 5'!E6="Never",5,IF('Week 5'!E6="Always",5))))))</f>
        <v>1</v>
      </c>
    </row>
    <row r="151" spans="2:21" x14ac:dyDescent="0.2">
      <c r="B151" t="str">
        <f>'Week 5'!C21</f>
        <v>3.</v>
      </c>
      <c r="C151" t="str">
        <f>'Week 5'!D21</f>
        <v>What time did you get into bed yesterday?</v>
      </c>
      <c r="D151">
        <f>'Week 5'!E21</f>
        <v>0.97916666666666663</v>
      </c>
      <c r="E151">
        <f>'Week 5'!F21</f>
        <v>0</v>
      </c>
      <c r="F151">
        <f>'Week 5'!G21</f>
        <v>0</v>
      </c>
      <c r="G151">
        <f>'Week 5'!H21</f>
        <v>0</v>
      </c>
      <c r="H151">
        <f>'Week 5'!I21</f>
        <v>0</v>
      </c>
      <c r="I151">
        <f>'Week 5'!J21</f>
        <v>0</v>
      </c>
      <c r="J151">
        <f>'Week 5'!K21</f>
        <v>0</v>
      </c>
      <c r="K151">
        <f>'Week 5'!L21</f>
        <v>0</v>
      </c>
      <c r="L151">
        <f>'Week 5'!M21</f>
        <v>0</v>
      </c>
      <c r="N151" t="str">
        <f t="shared" ref="N151:P151" si="109">IFERROR(TEXT(IF(N160&lt;0,24+N160,N160)/24,"h:mm"),"")</f>
        <v>0:00</v>
      </c>
      <c r="O151" t="str">
        <f t="shared" si="109"/>
        <v>0:00</v>
      </c>
      <c r="P151" t="str">
        <f t="shared" si="109"/>
        <v>0:00</v>
      </c>
      <c r="R151">
        <f>IF('Week 5'!E7="Never",1,IF('Week 5'!E7="Rarely ",2,IF('Week 5'!E7="Sometimes ",3,IF('Week 5'!E7="Frequently ",4,IF('Week 5'!E7="Never",5,IF('Week 5'!E7="Always",5))))))</f>
        <v>1</v>
      </c>
    </row>
    <row r="152" spans="2:21" x14ac:dyDescent="0.2">
      <c r="B152" t="str">
        <f>'Week 5'!C22</f>
        <v>4.</v>
      </c>
      <c r="C152" t="str">
        <f>'Week 5'!D22</f>
        <v>What time did you try to go to sleep?</v>
      </c>
      <c r="D152">
        <f>'Week 5'!E22</f>
        <v>0.98958333333333337</v>
      </c>
      <c r="E152">
        <f>'Week 5'!F22</f>
        <v>0</v>
      </c>
      <c r="F152">
        <f>'Week 5'!G22</f>
        <v>0</v>
      </c>
      <c r="G152">
        <f>'Week 5'!H22</f>
        <v>0</v>
      </c>
      <c r="H152">
        <f>'Week 5'!I22</f>
        <v>0</v>
      </c>
      <c r="I152">
        <f>'Week 5'!J22</f>
        <v>0</v>
      </c>
      <c r="J152">
        <f>'Week 5'!K22</f>
        <v>0</v>
      </c>
      <c r="K152">
        <f>'Week 5'!L22</f>
        <v>0</v>
      </c>
      <c r="L152">
        <f>'Week 5'!M22</f>
        <v>0</v>
      </c>
      <c r="N152" t="str">
        <f t="shared" ref="N152:P152" si="110">IFERROR(TEXT(IF(N161&lt;0,24+N161,N161)/24,"h:mm"),"")</f>
        <v>0:00</v>
      </c>
      <c r="O152" t="str">
        <f t="shared" si="110"/>
        <v>0:00</v>
      </c>
      <c r="P152" t="str">
        <f t="shared" si="110"/>
        <v>0:00</v>
      </c>
      <c r="R152">
        <f>IF('Week 5'!E8="Never",1,IF('Week 5'!E8="Rarely ",2,IF('Week 5'!E8="Sometimes ",3,IF('Week 5'!E8="Frequently ",4,IF('Week 5'!E8="Never",5,IF('Week 5'!E8="Always",5))))))</f>
        <v>1</v>
      </c>
    </row>
    <row r="153" spans="2:21" x14ac:dyDescent="0.2">
      <c r="B153" t="str">
        <f>'Week 5'!C23</f>
        <v>5.</v>
      </c>
      <c r="C153" t="str">
        <f>'Week 5'!D23</f>
        <v>How long did it actually take you to fall asleep (in minutes)?</v>
      </c>
      <c r="D153">
        <f>'Week 5'!E23</f>
        <v>30</v>
      </c>
      <c r="E153">
        <f>'Week 5'!F23</f>
        <v>0</v>
      </c>
      <c r="F153">
        <f>'Week 5'!G23</f>
        <v>0</v>
      </c>
      <c r="G153">
        <f>'Week 5'!H23</f>
        <v>0</v>
      </c>
      <c r="H153">
        <f>'Week 5'!I23</f>
        <v>0</v>
      </c>
      <c r="I153">
        <f>'Week 5'!J23</f>
        <v>0</v>
      </c>
      <c r="J153">
        <f>'Week 5'!K23</f>
        <v>0</v>
      </c>
      <c r="K153">
        <f>'Week 5'!L23</f>
        <v>0</v>
      </c>
      <c r="L153">
        <f>'Week 5'!M23</f>
        <v>0</v>
      </c>
      <c r="N153">
        <f>SUM(E153:I153)/5</f>
        <v>0</v>
      </c>
      <c r="O153">
        <f>SUM(E153:J153)/6</f>
        <v>0</v>
      </c>
      <c r="P153">
        <f>SUM(E153:K153)/7</f>
        <v>0</v>
      </c>
      <c r="R153">
        <f>SUM(R149:R152)</f>
        <v>4</v>
      </c>
      <c r="S153" t="s">
        <v>90</v>
      </c>
    </row>
    <row r="154" spans="2:21" x14ac:dyDescent="0.2">
      <c r="B154" t="str">
        <f>'Week 5'!C24</f>
        <v>6.</v>
      </c>
      <c r="C154" t="str">
        <f>'Week 5'!D24</f>
        <v>How many times did you wake up during the night?</v>
      </c>
      <c r="D154">
        <f>'Week 5'!E24</f>
        <v>2</v>
      </c>
      <c r="E154">
        <f>'Week 5'!F24</f>
        <v>0</v>
      </c>
      <c r="F154">
        <f>'Week 5'!G24</f>
        <v>0</v>
      </c>
      <c r="G154">
        <f>'Week 5'!H24</f>
        <v>0</v>
      </c>
      <c r="H154">
        <f>'Week 5'!I24</f>
        <v>0</v>
      </c>
      <c r="I154">
        <f>'Week 5'!J24</f>
        <v>0</v>
      </c>
      <c r="J154">
        <f>'Week 5'!K24</f>
        <v>0</v>
      </c>
      <c r="K154">
        <f>'Week 5'!L24</f>
        <v>0</v>
      </c>
      <c r="L154">
        <f>'Week 5'!M24</f>
        <v>0</v>
      </c>
      <c r="N154">
        <f t="shared" ref="N154:N155" si="111">SUM(E154:I154)/5</f>
        <v>0</v>
      </c>
      <c r="O154">
        <f t="shared" ref="O154:O155" si="112">SUM(E154:J154)/6</f>
        <v>0</v>
      </c>
      <c r="P154">
        <f t="shared" ref="P154:P155" si="113">SUM(E154:K154)/7</f>
        <v>0</v>
      </c>
      <c r="R154" s="45" t="str">
        <f>'Week 4'!E45</f>
        <v/>
      </c>
      <c r="S154" t="s">
        <v>91</v>
      </c>
    </row>
    <row r="155" spans="2:21" x14ac:dyDescent="0.2">
      <c r="B155" t="str">
        <f>'Week 5'!C25</f>
        <v>7.</v>
      </c>
      <c r="C155" t="str">
        <f>'Week 5'!D25</f>
        <v>In total, how long did these awakening last (in minutes)?</v>
      </c>
      <c r="D155">
        <f>'Week 5'!E25</f>
        <v>60</v>
      </c>
      <c r="E155">
        <f>'Week 5'!F25</f>
        <v>0</v>
      </c>
      <c r="F155">
        <f>'Week 5'!G25</f>
        <v>0</v>
      </c>
      <c r="G155">
        <f>'Week 5'!H25</f>
        <v>0</v>
      </c>
      <c r="H155">
        <f>'Week 5'!I25</f>
        <v>0</v>
      </c>
      <c r="I155">
        <f>'Week 5'!J25</f>
        <v>0</v>
      </c>
      <c r="J155">
        <f>'Week 5'!K25</f>
        <v>0</v>
      </c>
      <c r="K155">
        <f>'Week 5'!L25</f>
        <v>0</v>
      </c>
      <c r="L155">
        <f>'Week 5'!M25</f>
        <v>0</v>
      </c>
      <c r="N155">
        <f t="shared" si="111"/>
        <v>0</v>
      </c>
      <c r="O155">
        <f t="shared" si="112"/>
        <v>0</v>
      </c>
      <c r="P155">
        <f t="shared" si="113"/>
        <v>0</v>
      </c>
    </row>
    <row r="156" spans="2:21" x14ac:dyDescent="0.2">
      <c r="B156" t="str">
        <f>'Week 5'!C26</f>
        <v>8.</v>
      </c>
      <c r="C156" t="str">
        <f>'Week 5'!D26</f>
        <v>What time was your final awakening?</v>
      </c>
      <c r="D156">
        <f>'Week 5'!E26</f>
        <v>0.29166666666666669</v>
      </c>
      <c r="E156">
        <f>'Week 5'!F26</f>
        <v>0</v>
      </c>
      <c r="F156">
        <f>'Week 5'!G26</f>
        <v>0</v>
      </c>
      <c r="G156">
        <f>'Week 5'!H26</f>
        <v>0</v>
      </c>
      <c r="H156">
        <f>'Week 5'!I26</f>
        <v>0</v>
      </c>
      <c r="I156">
        <f>'Week 5'!J26</f>
        <v>0</v>
      </c>
      <c r="J156">
        <f>'Week 5'!K26</f>
        <v>0</v>
      </c>
      <c r="K156">
        <f>'Week 5'!L26</f>
        <v>0</v>
      </c>
      <c r="L156">
        <f>'Week 5'!M26</f>
        <v>0</v>
      </c>
      <c r="N156" t="str">
        <f>IFERROR(TEXT(IF(N162&lt;0,24+N162,N162)/24,"h:mm"),"")</f>
        <v>0:00</v>
      </c>
      <c r="O156" t="str">
        <f t="shared" ref="O156:P156" si="114">IFERROR(TEXT(IF(O162&lt;0,24+O162,O162)/24,"h:mm"),"")</f>
        <v>0:00</v>
      </c>
      <c r="P156" t="str">
        <f t="shared" si="114"/>
        <v>0:00</v>
      </c>
    </row>
    <row r="157" spans="2:21" x14ac:dyDescent="0.2">
      <c r="B157" t="str">
        <f>'Week 5'!C27</f>
        <v>9.</v>
      </c>
      <c r="C157" t="str">
        <f>'Week 5'!D27</f>
        <v>When did you get out of bed to start your day?</v>
      </c>
      <c r="D157">
        <f>'Week 5'!E27</f>
        <v>0.33333333333333331</v>
      </c>
      <c r="E157">
        <f>'Week 5'!F27</f>
        <v>0</v>
      </c>
      <c r="F157">
        <f>'Week 5'!G27</f>
        <v>0</v>
      </c>
      <c r="G157">
        <f>'Week 5'!H27</f>
        <v>0</v>
      </c>
      <c r="H157">
        <f>'Week 5'!I27</f>
        <v>0</v>
      </c>
      <c r="I157">
        <f>'Week 5'!J27</f>
        <v>0</v>
      </c>
      <c r="J157">
        <f>'Week 5'!K27</f>
        <v>0</v>
      </c>
      <c r="K157">
        <f>'Week 5'!L27</f>
        <v>0</v>
      </c>
      <c r="L157">
        <f>'Week 5'!M27</f>
        <v>0</v>
      </c>
      <c r="N157" t="str">
        <f>IFERROR(TEXT(IF(N163&lt;0,24+N163,N163)/24,"h:mm"),"")</f>
        <v>0:00</v>
      </c>
      <c r="O157" t="str">
        <f t="shared" ref="O157:P157" si="115">IFERROR(TEXT(IF(O163&lt;0,24+O163,O163)/24,"h:mm"),"")</f>
        <v>0:00</v>
      </c>
      <c r="P157" t="str">
        <f t="shared" si="115"/>
        <v>0:00</v>
      </c>
    </row>
    <row r="158" spans="2:21" x14ac:dyDescent="0.2">
      <c r="B158" t="str">
        <f>'Week 5'!C28</f>
        <v>10.</v>
      </c>
      <c r="C158" t="str">
        <f>'Week 5'!D28</f>
        <v>How long did you wakeup earlier than desired (in minutes)?</v>
      </c>
      <c r="D158">
        <f>'Week 5'!E28</f>
        <v>30</v>
      </c>
      <c r="E158">
        <f>'Week 5'!F28</f>
        <v>0</v>
      </c>
      <c r="F158">
        <f>'Week 5'!G28</f>
        <v>0</v>
      </c>
      <c r="G158">
        <f>'Week 5'!H28</f>
        <v>0</v>
      </c>
      <c r="H158">
        <f>'Week 5'!I28</f>
        <v>0</v>
      </c>
      <c r="I158">
        <f>'Week 5'!J28</f>
        <v>0</v>
      </c>
      <c r="J158">
        <f>'Week 5'!K28</f>
        <v>0</v>
      </c>
      <c r="K158">
        <f>'Week 5'!L28</f>
        <v>0</v>
      </c>
      <c r="L158">
        <f>'Week 5'!M28</f>
        <v>0</v>
      </c>
      <c r="N158">
        <f>SUM(E158:I158)/5</f>
        <v>0</v>
      </c>
      <c r="O158">
        <f t="shared" ref="O158" si="116">SUM(E158:J158)/6</f>
        <v>0</v>
      </c>
      <c r="P158">
        <f t="shared" ref="P158" si="117">SUM(E158:K158)/7</f>
        <v>0</v>
      </c>
      <c r="S158" t="str">
        <f>IF(AND(R154&gt;=0.85,R153&gt;=13),"True","False")</f>
        <v>False</v>
      </c>
      <c r="T158" s="52">
        <v>30</v>
      </c>
      <c r="U158" s="52" t="s">
        <v>99</v>
      </c>
    </row>
    <row r="159" spans="2:21" x14ac:dyDescent="0.2">
      <c r="S159" t="str">
        <f>IF(AND(R154&gt;=0.85,R153&gt;=10),"True","False")</f>
        <v>False</v>
      </c>
      <c r="T159" s="52">
        <v>15</v>
      </c>
      <c r="U159" s="52" t="s">
        <v>100</v>
      </c>
    </row>
    <row r="160" spans="2:21" x14ac:dyDescent="0.2">
      <c r="C160" s="13"/>
      <c r="D160" s="14">
        <f>IF(ISBLANK(D151),"",IF(HOUR(D151)&gt;12,HOUR(D151)+(MINUTE(D151)/60)-24,HOUR(D151)+(MINUTE(D151)/60)))</f>
        <v>-0.5</v>
      </c>
      <c r="E160" s="14">
        <f t="shared" ref="E160:K160" si="118">IF(ISBLANK(E151),"",IF(HOUR(E151)&gt;12,HOUR(E151)+(MINUTE(E151)/60)-24,HOUR(E151)+(MINUTE(E151)/60)))</f>
        <v>0</v>
      </c>
      <c r="F160" s="14">
        <f t="shared" si="118"/>
        <v>0</v>
      </c>
      <c r="G160" s="14">
        <f t="shared" si="118"/>
        <v>0</v>
      </c>
      <c r="H160" s="14">
        <f t="shared" si="118"/>
        <v>0</v>
      </c>
      <c r="I160" s="14">
        <f t="shared" si="118"/>
        <v>0</v>
      </c>
      <c r="J160" s="14">
        <f t="shared" si="118"/>
        <v>0</v>
      </c>
      <c r="K160" s="14">
        <f t="shared" si="118"/>
        <v>0</v>
      </c>
      <c r="L160">
        <f>SUM(E160:K160)/$M$7</f>
        <v>0</v>
      </c>
      <c r="N160">
        <f>SUM(E160:I160)/5</f>
        <v>0</v>
      </c>
      <c r="O160">
        <f>SUM(E160:J160)/6</f>
        <v>0</v>
      </c>
      <c r="P160">
        <f>SUM(E160:K160)/7</f>
        <v>0</v>
      </c>
      <c r="S160" t="str">
        <f>IF(AND(R154&gt;=0.85,R153&lt;=9),"True","False")</f>
        <v>True</v>
      </c>
      <c r="T160" s="52">
        <v>0</v>
      </c>
      <c r="U160" s="52" t="s">
        <v>101</v>
      </c>
    </row>
    <row r="161" spans="2:21" x14ac:dyDescent="0.2">
      <c r="C161" s="13"/>
      <c r="D161" s="14">
        <f>IF(ISBLANK(D152),"",IF(HOUR(D152)&gt;12,HOUR(D152)+(MINUTE(D152)/60)-24,HOUR(D152)+(MINUTE(D152)/60)))</f>
        <v>-0.25</v>
      </c>
      <c r="E161" s="14">
        <f t="shared" ref="E161:K161" si="119">IF(ISBLANK(E152),"",IF(HOUR(E152)&gt;12,HOUR(E152)+(MINUTE(E152)/60)-24,HOUR(E152)+(MINUTE(E152)/60)))</f>
        <v>0</v>
      </c>
      <c r="F161" s="14">
        <f t="shared" si="119"/>
        <v>0</v>
      </c>
      <c r="G161" s="14">
        <f t="shared" si="119"/>
        <v>0</v>
      </c>
      <c r="H161" s="14">
        <f t="shared" si="119"/>
        <v>0</v>
      </c>
      <c r="I161" s="14">
        <f t="shared" si="119"/>
        <v>0</v>
      </c>
      <c r="J161" s="14">
        <f t="shared" si="119"/>
        <v>0</v>
      </c>
      <c r="K161" s="14">
        <f t="shared" si="119"/>
        <v>0</v>
      </c>
      <c r="L161">
        <f t="shared" ref="L161:L165" si="120">SUM(E161:K161)/$M$7</f>
        <v>0</v>
      </c>
      <c r="N161">
        <f>SUM(E161:I161)/5</f>
        <v>0</v>
      </c>
      <c r="O161">
        <f>SUM(E161:J161)/6</f>
        <v>0</v>
      </c>
      <c r="P161">
        <f>SUM(E161:K161)/7</f>
        <v>0</v>
      </c>
      <c r="S161" t="str">
        <f>IF(AND(R154&gt;=0.8,R153&gt;1),"True","False")</f>
        <v>True</v>
      </c>
      <c r="T161" s="52">
        <v>0</v>
      </c>
      <c r="U161" s="52" t="s">
        <v>101</v>
      </c>
    </row>
    <row r="162" spans="2:21" x14ac:dyDescent="0.2">
      <c r="C162" s="13"/>
      <c r="D162" s="14">
        <f>IF(ISBLANK(D156),"",HOUR(D156)+(MINUTE(D156)/60))</f>
        <v>7</v>
      </c>
      <c r="E162" s="14">
        <f t="shared" ref="E162:K162" si="121">IF(ISBLANK(E156),"",HOUR(E156)+(MINUTE(E156)/60))</f>
        <v>0</v>
      </c>
      <c r="F162" s="14">
        <f t="shared" si="121"/>
        <v>0</v>
      </c>
      <c r="G162" s="14">
        <f t="shared" si="121"/>
        <v>0</v>
      </c>
      <c r="H162" s="14">
        <f t="shared" si="121"/>
        <v>0</v>
      </c>
      <c r="I162" s="14">
        <f t="shared" si="121"/>
        <v>0</v>
      </c>
      <c r="J162" s="14">
        <f t="shared" si="121"/>
        <v>0</v>
      </c>
      <c r="K162" s="14">
        <f t="shared" si="121"/>
        <v>0</v>
      </c>
      <c r="L162">
        <f t="shared" si="120"/>
        <v>0</v>
      </c>
      <c r="N162">
        <f>SUM(E162:I162)/5</f>
        <v>0</v>
      </c>
      <c r="O162">
        <f>SUM(E162:J162)/6</f>
        <v>0</v>
      </c>
      <c r="P162">
        <f>SUM(E162:K162)/7</f>
        <v>0</v>
      </c>
      <c r="S162" t="str">
        <f>IF(AND(R154&lt;0.8,R153&gt;9),"True","False")</f>
        <v>False</v>
      </c>
      <c r="T162" s="52">
        <v>0</v>
      </c>
      <c r="U162" s="52" t="s">
        <v>101</v>
      </c>
    </row>
    <row r="163" spans="2:21" x14ac:dyDescent="0.2">
      <c r="C163" s="13"/>
      <c r="D163" s="14">
        <f>IF(ISBLANK(D157),"",HOUR(D157)+(MINUTE(D157)/60))</f>
        <v>8</v>
      </c>
      <c r="E163" s="14">
        <f t="shared" ref="E163:K163" si="122">IF(ISBLANK(E157),"",HOUR(E157)+(MINUTE(E157)/60))</f>
        <v>0</v>
      </c>
      <c r="F163" s="14">
        <f t="shared" si="122"/>
        <v>0</v>
      </c>
      <c r="G163" s="14">
        <f t="shared" si="122"/>
        <v>0</v>
      </c>
      <c r="H163" s="14">
        <f t="shared" si="122"/>
        <v>0</v>
      </c>
      <c r="I163" s="14">
        <f t="shared" si="122"/>
        <v>0</v>
      </c>
      <c r="J163" s="14">
        <f t="shared" si="122"/>
        <v>0</v>
      </c>
      <c r="K163" s="14">
        <f t="shared" si="122"/>
        <v>0</v>
      </c>
      <c r="L163">
        <f t="shared" si="120"/>
        <v>0</v>
      </c>
      <c r="N163">
        <f>SUM(E163:I163)/5</f>
        <v>0</v>
      </c>
      <c r="O163">
        <f>SUM(E163:J163)/6</f>
        <v>0</v>
      </c>
      <c r="P163">
        <f>SUM(E163:K163)/7</f>
        <v>0</v>
      </c>
      <c r="S163" t="str">
        <f>IF(AND(R154&lt;0.8,R153&lt;=9),"True","False")</f>
        <v>False</v>
      </c>
      <c r="T163" s="52">
        <v>-15</v>
      </c>
      <c r="U163" s="52" t="s">
        <v>102</v>
      </c>
    </row>
    <row r="164" spans="2:21" x14ac:dyDescent="0.2">
      <c r="C164" s="13"/>
      <c r="D164" s="14">
        <f>IF(ISBLANK(D152),"", IF(ISBLANK(D157),"",24*IF(D152&gt;D157,D157+1-D152,D157-D152)))</f>
        <v>8.2499999999999964</v>
      </c>
      <c r="E164" s="14">
        <f t="shared" ref="E164:K164" si="123">IF(ISBLANK(E152),"", IF(ISBLANK(E157),"",24*IF(E152&gt;E157,E157+1-E152,E157-E152)))</f>
        <v>0</v>
      </c>
      <c r="F164" s="14">
        <f t="shared" si="123"/>
        <v>0</v>
      </c>
      <c r="G164" s="14">
        <f t="shared" si="123"/>
        <v>0</v>
      </c>
      <c r="H164" s="14">
        <f t="shared" si="123"/>
        <v>0</v>
      </c>
      <c r="I164" s="14">
        <f t="shared" si="123"/>
        <v>0</v>
      </c>
      <c r="J164" s="14">
        <f t="shared" si="123"/>
        <v>0</v>
      </c>
      <c r="K164" s="14">
        <f t="shared" si="123"/>
        <v>0</v>
      </c>
      <c r="L164">
        <f t="shared" si="120"/>
        <v>0</v>
      </c>
    </row>
    <row r="165" spans="2:21" x14ac:dyDescent="0.2">
      <c r="C165" s="13"/>
      <c r="D165" s="14">
        <f>IF(ISBLANK(D166),"",(IF(ISBLANK(D153),"",IF(ISBLANK(D155),"",D164-((D153+D155)/60)-(D163-D162)))))</f>
        <v>5.7499999999999964</v>
      </c>
      <c r="E165" s="14">
        <f t="shared" ref="E165:K165" si="124">IF(ISBLANK(E166),"",(IF(ISBLANK(E153),"",IF(ISBLANK(E155),"",E164-((E153+E155)/60)-(E163-E162)))))</f>
        <v>0</v>
      </c>
      <c r="F165" s="14">
        <f t="shared" si="124"/>
        <v>0</v>
      </c>
      <c r="G165" s="14">
        <f t="shared" si="124"/>
        <v>0</v>
      </c>
      <c r="H165" s="14">
        <f t="shared" si="124"/>
        <v>0</v>
      </c>
      <c r="I165" s="14">
        <f t="shared" si="124"/>
        <v>0</v>
      </c>
      <c r="J165" s="14">
        <f t="shared" si="124"/>
        <v>0</v>
      </c>
      <c r="K165" s="14">
        <f t="shared" si="124"/>
        <v>0</v>
      </c>
      <c r="L165">
        <f t="shared" si="120"/>
        <v>0</v>
      </c>
    </row>
    <row r="166" spans="2:21" x14ac:dyDescent="0.2">
      <c r="C166" s="15" t="s">
        <v>27</v>
      </c>
      <c r="D166" s="38">
        <f>IF(ISBLANK(D152),"", IF(ISBLANK(D157),"",IF(D152&gt;D157,D157+1-D152,D157-D152)))</f>
        <v>0.34374999999999989</v>
      </c>
      <c r="E166" s="38">
        <f>IF(ISBLANK(E152),"", IF(ISBLANK(E157),"",IF(E152&gt;E157,E157+1-E152,E157-E152)))</f>
        <v>0</v>
      </c>
      <c r="F166" s="38">
        <f t="shared" ref="F166:K166" si="125">IF(ISBLANK(F152),"", IF(ISBLANK(F157),"",IF(F152&gt;F157,F157+1-F152,F157-F152)))</f>
        <v>0</v>
      </c>
      <c r="G166" s="38">
        <f t="shared" si="125"/>
        <v>0</v>
      </c>
      <c r="H166" s="38">
        <f t="shared" si="125"/>
        <v>0</v>
      </c>
      <c r="I166" s="38">
        <f t="shared" si="125"/>
        <v>0</v>
      </c>
      <c r="J166" s="38">
        <f t="shared" si="125"/>
        <v>0</v>
      </c>
      <c r="K166" s="38">
        <f t="shared" si="125"/>
        <v>0</v>
      </c>
      <c r="N166" s="42">
        <f t="shared" ref="N166:N167" si="126">SUM(E166:I166)/5</f>
        <v>0</v>
      </c>
      <c r="O166" s="42">
        <f t="shared" ref="O166:O167" si="127">SUM(E166:J166)/6</f>
        <v>0</v>
      </c>
      <c r="P166" s="42">
        <f t="shared" ref="P166:P168" si="128">SUM(E166:K166)/7</f>
        <v>0</v>
      </c>
      <c r="S166" t="b">
        <f>ISNUMBER(MATCH("true",S158:S163,0))</f>
        <v>1</v>
      </c>
    </row>
    <row r="167" spans="2:21" x14ac:dyDescent="0.2">
      <c r="C167" s="15" t="s">
        <v>28</v>
      </c>
      <c r="D167" s="38">
        <f>D165/24</f>
        <v>0.23958333333333318</v>
      </c>
      <c r="E167" s="38">
        <f t="shared" ref="E167:K167" si="129">E165/24</f>
        <v>0</v>
      </c>
      <c r="F167" s="38">
        <f t="shared" si="129"/>
        <v>0</v>
      </c>
      <c r="G167" s="38">
        <f t="shared" si="129"/>
        <v>0</v>
      </c>
      <c r="H167" s="38">
        <f t="shared" si="129"/>
        <v>0</v>
      </c>
      <c r="I167" s="38">
        <f t="shared" si="129"/>
        <v>0</v>
      </c>
      <c r="J167" s="38">
        <f t="shared" si="129"/>
        <v>0</v>
      </c>
      <c r="K167" s="38">
        <f t="shared" si="129"/>
        <v>0</v>
      </c>
      <c r="N167" s="42">
        <f t="shared" si="126"/>
        <v>0</v>
      </c>
      <c r="O167" s="42">
        <f t="shared" si="127"/>
        <v>0</v>
      </c>
      <c r="P167" s="42">
        <f t="shared" si="128"/>
        <v>0</v>
      </c>
      <c r="S167">
        <f>MATCH("true",S158:S163,0)</f>
        <v>3</v>
      </c>
    </row>
    <row r="168" spans="2:21" x14ac:dyDescent="0.2">
      <c r="C168" s="15" t="s">
        <v>29</v>
      </c>
      <c r="D168" s="16">
        <f>IF(ISERROR(D167/D166),"",IF(ISBLANK(D167),"",D167/D166))</f>
        <v>0.69696969696969668</v>
      </c>
      <c r="E168" s="16" t="str">
        <f t="shared" ref="E168:K168" si="130">IF(ISERROR(E167/E166),"",IF(ISBLANK(E167),"",E167/E166))</f>
        <v/>
      </c>
      <c r="F168" s="16" t="str">
        <f t="shared" si="130"/>
        <v/>
      </c>
      <c r="G168" s="16" t="str">
        <f t="shared" si="130"/>
        <v/>
      </c>
      <c r="H168" s="16" t="str">
        <f t="shared" si="130"/>
        <v/>
      </c>
      <c r="I168" s="16" t="str">
        <f t="shared" si="130"/>
        <v/>
      </c>
      <c r="J168" s="16" t="str">
        <f t="shared" si="130"/>
        <v/>
      </c>
      <c r="K168" s="16" t="str">
        <f t="shared" si="130"/>
        <v/>
      </c>
      <c r="N168" s="41">
        <f t="shared" ref="N168" si="131">SUM(E168:I168)/5</f>
        <v>0</v>
      </c>
      <c r="O168" s="41">
        <f t="shared" ref="O168" si="132">SUM(E168:J168)/6</f>
        <v>0</v>
      </c>
      <c r="P168" s="41">
        <f t="shared" si="128"/>
        <v>0</v>
      </c>
      <c r="R168" t="s">
        <v>93</v>
      </c>
      <c r="S168">
        <f>IF(S167=1,T158,IF(S167=2,T159,IF(S167=6,T163,T160)))</f>
        <v>0</v>
      </c>
      <c r="T168">
        <v>15</v>
      </c>
    </row>
    <row r="169" spans="2:21" x14ac:dyDescent="0.2">
      <c r="R169" t="s">
        <v>94</v>
      </c>
      <c r="S169" t="str">
        <f>IF(S167=1,U158,IF(S167=2,U159,IF(S167=6,U163,U160)))</f>
        <v> Do not change your Time in Bed</v>
      </c>
    </row>
    <row r="171" spans="2:21" x14ac:dyDescent="0.2">
      <c r="B171" s="238" t="s">
        <v>59</v>
      </c>
      <c r="C171" s="238"/>
      <c r="D171" s="238"/>
      <c r="G171" t="s">
        <v>70</v>
      </c>
      <c r="H171" s="48">
        <v>0.85</v>
      </c>
    </row>
    <row r="172" spans="2:21" x14ac:dyDescent="0.2">
      <c r="B172" s="43"/>
      <c r="C172" s="43" t="s">
        <v>65</v>
      </c>
      <c r="D172" s="44" t="str">
        <f>IF(M149&lt;5,"",IF(M149=5,N150,IF(M149=6,O150,P150)))</f>
        <v/>
      </c>
      <c r="R172" t="s">
        <v>96</v>
      </c>
    </row>
    <row r="173" spans="2:21" x14ac:dyDescent="0.2">
      <c r="B173" s="43"/>
      <c r="C173" s="43" t="s">
        <v>60</v>
      </c>
      <c r="D173" s="44" t="str">
        <f>IF(M149&lt;5,"",IF(M149=5,N151,IF(M149=6,O151,P151)))</f>
        <v/>
      </c>
      <c r="R173" s="49" t="s">
        <v>132</v>
      </c>
      <c r="S173" s="49" t="str">
        <f>'Week 4'!E13</f>
        <v>*Error in calculation</v>
      </c>
    </row>
    <row r="174" spans="2:21" x14ac:dyDescent="0.2">
      <c r="B174" s="43"/>
      <c r="C174" s="43" t="s">
        <v>61</v>
      </c>
      <c r="D174" s="44" t="str">
        <f>IF(M149&lt;5,"",IF(M149=5,N152,IF(M149=6,O152,P152)))</f>
        <v/>
      </c>
      <c r="R174" t="s">
        <v>133</v>
      </c>
      <c r="S174" s="49" t="str">
        <f>'Week 4'!E14</f>
        <v>*Error in calculation</v>
      </c>
    </row>
    <row r="175" spans="2:21" x14ac:dyDescent="0.2">
      <c r="B175" s="45"/>
      <c r="C175" s="45" t="s">
        <v>62</v>
      </c>
      <c r="D175" s="44" t="str">
        <f>IF(M149&lt;5,"",IF(M149=5,N153,IF(M149=6,O153,P153)))</f>
        <v/>
      </c>
    </row>
    <row r="176" spans="2:21" x14ac:dyDescent="0.2">
      <c r="B176" s="45"/>
      <c r="C176" s="45" t="s">
        <v>63</v>
      </c>
      <c r="D176" s="44" t="str">
        <f>IF(M149&lt;5,"",IF(M149=5,N156,IF(M149=6,O156,P156)))</f>
        <v/>
      </c>
      <c r="R176" t="s">
        <v>97</v>
      </c>
      <c r="S176" s="49" t="e">
        <f>IF(S168&lt;0,S173-TIME(0,15,0),S173+TIME(0,S168,0))</f>
        <v>#VALUE!</v>
      </c>
      <c r="T176" s="49" t="e">
        <f>IF(S176&lt;0.229166666666667,0.229166666666667,S176)</f>
        <v>#VALUE!</v>
      </c>
    </row>
    <row r="177" spans="2:21" x14ac:dyDescent="0.2">
      <c r="B177" s="43"/>
      <c r="C177" s="43" t="s">
        <v>64</v>
      </c>
      <c r="D177" s="44" t="str">
        <f>IF(M149&lt;5,"",IF(M149=5,N157,IF(M149=6,O157,P157)))</f>
        <v/>
      </c>
      <c r="R177" t="s">
        <v>98</v>
      </c>
      <c r="S177" s="49" t="e">
        <f>IF(S168&lt;0,S174+TIME(0,15,0),S174-TIME(0,S168,0))</f>
        <v>#VALUE!</v>
      </c>
      <c r="T177">
        <v>1</v>
      </c>
      <c r="U177" s="49" t="e">
        <f>S42-T176</f>
        <v>#VALUE!</v>
      </c>
    </row>
    <row r="178" spans="2:21" x14ac:dyDescent="0.2">
      <c r="C178" t="s">
        <v>72</v>
      </c>
      <c r="D178" s="49" t="str">
        <f>IF(M149&lt;5,"",IF(M149=5,N167,IF(M149=6,O167,P167)))</f>
        <v/>
      </c>
      <c r="R178" t="s">
        <v>127</v>
      </c>
      <c r="S178" s="49" t="e">
        <f>IF(S176&lt;0.229166666666667,U177,S177)</f>
        <v>#VALUE!</v>
      </c>
    </row>
    <row r="179" spans="2:21" x14ac:dyDescent="0.2">
      <c r="C179" t="s">
        <v>73</v>
      </c>
      <c r="D179" s="50" t="str">
        <f>IF(M149&lt;5,"",IF(M149=5,N168,IF(M149=6,O168,P168)))</f>
        <v/>
      </c>
      <c r="R179" t="s">
        <v>126</v>
      </c>
      <c r="S179" s="61" t="e">
        <f>IF((S178)&lt;0,(S178)+T177,(S178))</f>
        <v>#VALUE!</v>
      </c>
    </row>
    <row r="181" spans="2:21" s="5" customFormat="1" x14ac:dyDescent="0.2"/>
    <row r="182" spans="2:21" x14ac:dyDescent="0.2">
      <c r="B182" t="s">
        <v>130</v>
      </c>
    </row>
    <row r="183" spans="2:21" x14ac:dyDescent="0.2">
      <c r="N183" t="s">
        <v>67</v>
      </c>
      <c r="O183" t="s">
        <v>68</v>
      </c>
      <c r="P183" t="s">
        <v>69</v>
      </c>
    </row>
    <row r="184" spans="2:21" x14ac:dyDescent="0.2">
      <c r="B184">
        <f>'Week 6'!C18</f>
        <v>0</v>
      </c>
      <c r="C184" t="str">
        <f>'Week 6'!D18</f>
        <v>Sleep Diary Entry for Week 6</v>
      </c>
      <c r="D184" t="str">
        <f>'Week 6'!E18</f>
        <v>Sample</v>
      </c>
      <c r="E184" t="str">
        <f>'Week 6'!F18</f>
        <v>Day 1</v>
      </c>
      <c r="F184" t="str">
        <f>'Week 6'!G18</f>
        <v>Day 2</v>
      </c>
      <c r="G184" t="str">
        <f>'Week 6'!H18</f>
        <v>Day 3</v>
      </c>
      <c r="H184" t="str">
        <f>'Week 6'!I18</f>
        <v>Day 4</v>
      </c>
      <c r="I184" t="str">
        <f>'Week 6'!J18</f>
        <v>Day 5</v>
      </c>
      <c r="J184" t="str">
        <f>'Week 6'!K18</f>
        <v>Day 6</v>
      </c>
      <c r="K184" t="str">
        <f>'Week 6'!L18</f>
        <v>Day 7</v>
      </c>
      <c r="L184">
        <f>'Week 6'!M18</f>
        <v>0</v>
      </c>
      <c r="R184" t="s">
        <v>134</v>
      </c>
    </row>
    <row r="185" spans="2:21" x14ac:dyDescent="0.2">
      <c r="B185" t="str">
        <f>'Week 6'!C19</f>
        <v>1.</v>
      </c>
      <c r="C185" t="str">
        <f>'Week 6'!D19</f>
        <v>Date</v>
      </c>
      <c r="D185">
        <f>'Week 6'!E19</f>
        <v>40544</v>
      </c>
      <c r="E185">
        <f>'Week 6'!F19</f>
        <v>0</v>
      </c>
      <c r="F185">
        <f>'Week 6'!G19</f>
        <v>0</v>
      </c>
      <c r="G185">
        <f>'Week 6'!H19</f>
        <v>0</v>
      </c>
      <c r="H185">
        <f>'Week 6'!I19</f>
        <v>0</v>
      </c>
      <c r="I185">
        <f>'Week 6'!J19</f>
        <v>0</v>
      </c>
      <c r="J185">
        <f>'Week 6'!K19</f>
        <v>0</v>
      </c>
      <c r="K185">
        <f>'Week 6'!L19</f>
        <v>0</v>
      </c>
      <c r="L185">
        <f>'Week 6'!M19</f>
        <v>0</v>
      </c>
      <c r="M185">
        <f>SUMPRODUCT(--(LEN(E185:K185)&gt;1))</f>
        <v>0</v>
      </c>
      <c r="N185" t="str">
        <f>IF(M185&lt;5,"",IF(D183=5,"Medium",IF(D183="M","Medium","Large")))</f>
        <v/>
      </c>
      <c r="O185" s="44" t="str">
        <f>D208</f>
        <v/>
      </c>
      <c r="R185">
        <f>IF('Week 6'!E5="Never",1,IF('Week 6'!E5="Rarely ",2,IF('Week 6'!E5="Sometimes ",3,IF('Week 6'!E5="Frequently ",4,IF('Week 6'!E5="Never",5,IF('Week 6'!E5="Always",5))))))</f>
        <v>1</v>
      </c>
    </row>
    <row r="186" spans="2:21" x14ac:dyDescent="0.2">
      <c r="B186" t="str">
        <f>'Week 6'!C20</f>
        <v>2.</v>
      </c>
      <c r="C186" t="str">
        <f>'Week 6'!D20</f>
        <v>How long did you nap or doze yesterday (in minutes)?</v>
      </c>
      <c r="D186">
        <f>'Week 6'!E20</f>
        <v>30</v>
      </c>
      <c r="E186">
        <f>'Week 6'!F20</f>
        <v>0</v>
      </c>
      <c r="F186">
        <f>'Week 6'!G20</f>
        <v>0</v>
      </c>
      <c r="G186">
        <f>'Week 6'!H20</f>
        <v>0</v>
      </c>
      <c r="H186">
        <f>'Week 6'!I20</f>
        <v>0</v>
      </c>
      <c r="I186">
        <f>'Week 6'!J20</f>
        <v>0</v>
      </c>
      <c r="J186">
        <f>'Week 6'!K20</f>
        <v>0</v>
      </c>
      <c r="K186">
        <f>'Week 6'!L20</f>
        <v>0</v>
      </c>
      <c r="L186">
        <f>'Week 6'!M20</f>
        <v>0</v>
      </c>
      <c r="N186">
        <f t="shared" ref="N186" si="133">SUM(E186:I186)/5</f>
        <v>0</v>
      </c>
      <c r="O186">
        <f t="shared" ref="O186" si="134">SUM(E186:J186)/6</f>
        <v>0</v>
      </c>
      <c r="P186">
        <f t="shared" ref="P186" si="135">SUM(E186:K186)/7</f>
        <v>0</v>
      </c>
      <c r="R186">
        <f>IF('Week 6'!E6="Never",1,IF('Week 6'!E6="Rarely ",2,IF('Week 6'!E6="Sometimes ",3,IF('Week 6'!E6="Frequently ",4,IF('Week 6'!E6="Never",5,IF('Week 6'!E6="Always",5))))))</f>
        <v>1</v>
      </c>
    </row>
    <row r="187" spans="2:21" x14ac:dyDescent="0.2">
      <c r="B187" t="str">
        <f>'Week 6'!C21</f>
        <v>3.</v>
      </c>
      <c r="C187" t="str">
        <f>'Week 6'!D21</f>
        <v>What time did you get into bed yesterday?</v>
      </c>
      <c r="D187">
        <f>'Week 6'!E21</f>
        <v>0.97916666666666663</v>
      </c>
      <c r="E187">
        <f>'Week 6'!F21</f>
        <v>0</v>
      </c>
      <c r="F187">
        <f>'Week 6'!G21</f>
        <v>0</v>
      </c>
      <c r="G187">
        <f>'Week 6'!H21</f>
        <v>0</v>
      </c>
      <c r="H187">
        <f>'Week 6'!I21</f>
        <v>0</v>
      </c>
      <c r="I187">
        <f>'Week 6'!J21</f>
        <v>0</v>
      </c>
      <c r="J187">
        <f>'Week 6'!K21</f>
        <v>0</v>
      </c>
      <c r="K187">
        <f>'Week 6'!L21</f>
        <v>0</v>
      </c>
      <c r="L187">
        <f>'Week 6'!M21</f>
        <v>0</v>
      </c>
      <c r="N187" t="str">
        <f t="shared" ref="N187:P187" si="136">IFERROR(TEXT(IF(N196&lt;0,24+N196,N196)/24,"h:mm"),"")</f>
        <v>0:00</v>
      </c>
      <c r="O187" t="str">
        <f t="shared" si="136"/>
        <v>0:00</v>
      </c>
      <c r="P187" t="str">
        <f t="shared" si="136"/>
        <v>0:00</v>
      </c>
      <c r="R187">
        <f>IF('Week 6'!E7="Never",1,IF('Week 6'!E7="Rarely ",2,IF('Week 6'!E7="Sometimes ",3,IF('Week 6'!E7="Frequently ",4,IF('Week 6'!E7="Never",5,IF('Week 6'!E7="Always",5))))))</f>
        <v>1</v>
      </c>
    </row>
    <row r="188" spans="2:21" x14ac:dyDescent="0.2">
      <c r="B188" t="str">
        <f>'Week 6'!C22</f>
        <v>4.</v>
      </c>
      <c r="C188" t="str">
        <f>'Week 6'!D22</f>
        <v>What time did you try to go to sleep?</v>
      </c>
      <c r="D188">
        <f>'Week 6'!E22</f>
        <v>0.98958333333333337</v>
      </c>
      <c r="E188">
        <f>'Week 6'!F22</f>
        <v>0</v>
      </c>
      <c r="F188">
        <f>'Week 6'!G22</f>
        <v>0</v>
      </c>
      <c r="G188">
        <f>'Week 6'!H22</f>
        <v>0</v>
      </c>
      <c r="H188">
        <f>'Week 6'!I22</f>
        <v>0</v>
      </c>
      <c r="I188">
        <f>'Week 6'!J22</f>
        <v>0</v>
      </c>
      <c r="J188">
        <f>'Week 6'!K22</f>
        <v>0</v>
      </c>
      <c r="K188">
        <f>'Week 6'!L22</f>
        <v>0</v>
      </c>
      <c r="L188">
        <f>'Week 6'!M22</f>
        <v>0</v>
      </c>
      <c r="N188" t="str">
        <f t="shared" ref="N188:P188" si="137">IFERROR(TEXT(IF(N197&lt;0,24+N197,N197)/24,"h:mm"),"")</f>
        <v>0:00</v>
      </c>
      <c r="O188" t="str">
        <f t="shared" si="137"/>
        <v>0:00</v>
      </c>
      <c r="P188" t="str">
        <f t="shared" si="137"/>
        <v>0:00</v>
      </c>
      <c r="R188">
        <f>IF('Week 6'!E8="Never",1,IF('Week 6'!E8="Rarely ",2,IF('Week 6'!E8="Sometimes ",3,IF('Week 6'!E8="Frequently ",4,IF('Week 6'!E8="Never",5,IF('Week 6'!E8="Always",5))))))</f>
        <v>1</v>
      </c>
    </row>
    <row r="189" spans="2:21" x14ac:dyDescent="0.2">
      <c r="B189" t="str">
        <f>'Week 6'!C23</f>
        <v>5.</v>
      </c>
      <c r="C189" t="str">
        <f>'Week 6'!D23</f>
        <v>How long did it actually take you to fall asleep (in minutes)?</v>
      </c>
      <c r="D189">
        <f>'Week 6'!E23</f>
        <v>30</v>
      </c>
      <c r="E189">
        <f>'Week 6'!F23</f>
        <v>0</v>
      </c>
      <c r="F189">
        <f>'Week 6'!G23</f>
        <v>0</v>
      </c>
      <c r="G189">
        <f>'Week 6'!H23</f>
        <v>0</v>
      </c>
      <c r="H189">
        <f>'Week 6'!I23</f>
        <v>0</v>
      </c>
      <c r="I189">
        <f>'Week 6'!J23</f>
        <v>0</v>
      </c>
      <c r="J189">
        <f>'Week 6'!K23</f>
        <v>0</v>
      </c>
      <c r="K189">
        <f>'Week 6'!L23</f>
        <v>0</v>
      </c>
      <c r="L189">
        <f>'Week 6'!M23</f>
        <v>0</v>
      </c>
      <c r="N189">
        <f>SUM(E189:I189)/5</f>
        <v>0</v>
      </c>
      <c r="O189">
        <f>SUM(E189:J189)/6</f>
        <v>0</v>
      </c>
      <c r="P189">
        <f>SUM(E189:K189)/7</f>
        <v>0</v>
      </c>
      <c r="R189">
        <f>SUM(R185:R188)</f>
        <v>4</v>
      </c>
      <c r="S189" t="s">
        <v>90</v>
      </c>
    </row>
    <row r="190" spans="2:21" x14ac:dyDescent="0.2">
      <c r="B190" t="str">
        <f>'Week 6'!C24</f>
        <v>6.</v>
      </c>
      <c r="C190" t="str">
        <f>'Week 6'!D24</f>
        <v>How many times did you wake up during the night?</v>
      </c>
      <c r="D190">
        <f>'Week 6'!E24</f>
        <v>2</v>
      </c>
      <c r="E190">
        <f>'Week 6'!F24</f>
        <v>0</v>
      </c>
      <c r="F190">
        <f>'Week 6'!G24</f>
        <v>0</v>
      </c>
      <c r="G190">
        <f>'Week 6'!H24</f>
        <v>0</v>
      </c>
      <c r="H190">
        <f>'Week 6'!I24</f>
        <v>0</v>
      </c>
      <c r="I190">
        <f>'Week 6'!J24</f>
        <v>0</v>
      </c>
      <c r="J190">
        <f>'Week 6'!K24</f>
        <v>0</v>
      </c>
      <c r="K190">
        <f>'Week 6'!L24</f>
        <v>0</v>
      </c>
      <c r="L190">
        <f>'Week 6'!M24</f>
        <v>0</v>
      </c>
      <c r="N190">
        <f t="shared" ref="N190:N191" si="138">SUM(E190:I190)/5</f>
        <v>0</v>
      </c>
      <c r="O190">
        <f t="shared" ref="O190:O191" si="139">SUM(E190:J190)/6</f>
        <v>0</v>
      </c>
      <c r="P190">
        <f t="shared" ref="P190:P191" si="140">SUM(E190:K190)/7</f>
        <v>0</v>
      </c>
      <c r="R190" s="45" t="str">
        <f>D179</f>
        <v/>
      </c>
      <c r="S190" t="s">
        <v>91</v>
      </c>
    </row>
    <row r="191" spans="2:21" x14ac:dyDescent="0.2">
      <c r="B191" t="str">
        <f>'Week 6'!C25</f>
        <v>7.</v>
      </c>
      <c r="C191" t="str">
        <f>'Week 6'!D25</f>
        <v>In total, how long did these awakening last (in minutes)?</v>
      </c>
      <c r="D191">
        <f>'Week 6'!E25</f>
        <v>60</v>
      </c>
      <c r="E191">
        <f>'Week 6'!F25</f>
        <v>0</v>
      </c>
      <c r="F191">
        <f>'Week 6'!G25</f>
        <v>0</v>
      </c>
      <c r="G191">
        <f>'Week 6'!H25</f>
        <v>0</v>
      </c>
      <c r="H191">
        <f>'Week 6'!I25</f>
        <v>0</v>
      </c>
      <c r="I191">
        <f>'Week 6'!J25</f>
        <v>0</v>
      </c>
      <c r="J191">
        <f>'Week 6'!K25</f>
        <v>0</v>
      </c>
      <c r="K191">
        <f>'Week 6'!L25</f>
        <v>0</v>
      </c>
      <c r="L191">
        <f>'Week 6'!M25</f>
        <v>0</v>
      </c>
      <c r="N191">
        <f t="shared" si="138"/>
        <v>0</v>
      </c>
      <c r="O191">
        <f t="shared" si="139"/>
        <v>0</v>
      </c>
      <c r="P191">
        <f t="shared" si="140"/>
        <v>0</v>
      </c>
    </row>
    <row r="192" spans="2:21" x14ac:dyDescent="0.2">
      <c r="B192" t="str">
        <f>'Week 6'!C26</f>
        <v>8.</v>
      </c>
      <c r="C192" t="str">
        <f>'Week 6'!D26</f>
        <v>What time was your final awakening?</v>
      </c>
      <c r="D192">
        <f>'Week 6'!E26</f>
        <v>0.29166666666666669</v>
      </c>
      <c r="E192">
        <f>'Week 6'!F26</f>
        <v>0</v>
      </c>
      <c r="F192">
        <f>'Week 6'!G26</f>
        <v>0</v>
      </c>
      <c r="G192">
        <f>'Week 6'!H26</f>
        <v>0</v>
      </c>
      <c r="H192">
        <f>'Week 6'!I26</f>
        <v>0</v>
      </c>
      <c r="I192">
        <f>'Week 6'!J26</f>
        <v>0</v>
      </c>
      <c r="J192">
        <f>'Week 6'!K26</f>
        <v>0</v>
      </c>
      <c r="K192">
        <f>'Week 6'!L26</f>
        <v>0</v>
      </c>
      <c r="L192">
        <f>'Week 6'!M26</f>
        <v>0</v>
      </c>
      <c r="N192" t="str">
        <f>IFERROR(TEXT(IF(N198&lt;0,24+N198,N198)/24,"h:mm"),"")</f>
        <v>0:00</v>
      </c>
      <c r="O192" t="str">
        <f t="shared" ref="O192:P192" si="141">IFERROR(TEXT(IF(O198&lt;0,24+O198,O198)/24,"h:mm"),"")</f>
        <v>0:00</v>
      </c>
      <c r="P192" t="str">
        <f t="shared" si="141"/>
        <v>0:00</v>
      </c>
    </row>
    <row r="193" spans="2:21" x14ac:dyDescent="0.2">
      <c r="B193" t="str">
        <f>'Week 6'!C27</f>
        <v>9.</v>
      </c>
      <c r="C193" t="str">
        <f>'Week 6'!D27</f>
        <v>When did you get out of bed to start your day?</v>
      </c>
      <c r="D193">
        <f>'Week 6'!E27</f>
        <v>0.33333333333333331</v>
      </c>
      <c r="E193">
        <f>'Week 6'!F27</f>
        <v>0</v>
      </c>
      <c r="F193">
        <f>'Week 6'!G27</f>
        <v>0</v>
      </c>
      <c r="G193">
        <f>'Week 6'!H27</f>
        <v>0</v>
      </c>
      <c r="H193">
        <f>'Week 6'!I27</f>
        <v>0</v>
      </c>
      <c r="I193">
        <f>'Week 6'!J27</f>
        <v>0</v>
      </c>
      <c r="J193">
        <f>'Week 6'!K27</f>
        <v>0</v>
      </c>
      <c r="K193">
        <f>'Week 6'!L27</f>
        <v>0</v>
      </c>
      <c r="L193">
        <f>'Week 6'!M27</f>
        <v>0</v>
      </c>
      <c r="N193" t="str">
        <f>IFERROR(TEXT(IF(N199&lt;0,24+N199,N199)/24,"h:mm"),"")</f>
        <v>0:00</v>
      </c>
      <c r="O193" t="str">
        <f t="shared" ref="O193:P193" si="142">IFERROR(TEXT(IF(O199&lt;0,24+O199,O199)/24,"h:mm"),"")</f>
        <v>0:00</v>
      </c>
      <c r="P193" t="str">
        <f t="shared" si="142"/>
        <v>0:00</v>
      </c>
    </row>
    <row r="194" spans="2:21" x14ac:dyDescent="0.2">
      <c r="B194" t="str">
        <f>'Week 6'!C28</f>
        <v>10.</v>
      </c>
      <c r="C194" t="str">
        <f>'Week 6'!D28</f>
        <v>How long did you wakeup earlier than desired (in minutes)?</v>
      </c>
      <c r="D194">
        <f>'Week 6'!E28</f>
        <v>30</v>
      </c>
      <c r="E194">
        <f>'Week 6'!F28</f>
        <v>0</v>
      </c>
      <c r="F194">
        <f>'Week 6'!G28</f>
        <v>0</v>
      </c>
      <c r="G194">
        <f>'Week 6'!H28</f>
        <v>0</v>
      </c>
      <c r="H194">
        <f>'Week 6'!I28</f>
        <v>0</v>
      </c>
      <c r="I194">
        <f>'Week 6'!J28</f>
        <v>0</v>
      </c>
      <c r="J194">
        <f>'Week 6'!K28</f>
        <v>0</v>
      </c>
      <c r="K194">
        <f>'Week 6'!L28</f>
        <v>0</v>
      </c>
      <c r="L194">
        <f>'Week 6'!M28</f>
        <v>0</v>
      </c>
      <c r="N194">
        <f>SUM(E194:I194)/5</f>
        <v>0</v>
      </c>
      <c r="O194">
        <f t="shared" ref="O194" si="143">SUM(E194:J194)/6</f>
        <v>0</v>
      </c>
      <c r="P194">
        <f t="shared" ref="P194" si="144">SUM(E194:K194)/7</f>
        <v>0</v>
      </c>
      <c r="S194" t="str">
        <f>IF(AND(R190&gt;=0.85,R189&gt;=13),"True","False")</f>
        <v>False</v>
      </c>
      <c r="T194" s="52">
        <v>30</v>
      </c>
      <c r="U194" s="52" t="s">
        <v>99</v>
      </c>
    </row>
    <row r="195" spans="2:21" x14ac:dyDescent="0.2">
      <c r="S195" t="str">
        <f>IF(AND(R190&gt;=0.85,R189&gt;=10),"True","False")</f>
        <v>False</v>
      </c>
      <c r="T195" s="52">
        <v>15</v>
      </c>
      <c r="U195" s="52" t="s">
        <v>100</v>
      </c>
    </row>
    <row r="196" spans="2:21" x14ac:dyDescent="0.2">
      <c r="C196" s="13"/>
      <c r="D196" s="14">
        <f>IF(ISBLANK(D187),"",IF(HOUR(D187)&gt;12,HOUR(D187)+(MINUTE(D187)/60)-24,HOUR(D187)+(MINUTE(D187)/60)))</f>
        <v>-0.5</v>
      </c>
      <c r="E196" s="14">
        <f t="shared" ref="E196:K196" si="145">IF(ISBLANK(E187),"",IF(HOUR(E187)&gt;12,HOUR(E187)+(MINUTE(E187)/60)-24,HOUR(E187)+(MINUTE(E187)/60)))</f>
        <v>0</v>
      </c>
      <c r="F196" s="14">
        <f t="shared" si="145"/>
        <v>0</v>
      </c>
      <c r="G196" s="14">
        <f t="shared" si="145"/>
        <v>0</v>
      </c>
      <c r="H196" s="14">
        <f t="shared" si="145"/>
        <v>0</v>
      </c>
      <c r="I196" s="14">
        <f t="shared" si="145"/>
        <v>0</v>
      </c>
      <c r="J196" s="14">
        <f t="shared" si="145"/>
        <v>0</v>
      </c>
      <c r="K196" s="14">
        <f t="shared" si="145"/>
        <v>0</v>
      </c>
      <c r="L196">
        <f>SUM(E196:K196)/$M$7</f>
        <v>0</v>
      </c>
      <c r="N196">
        <f>SUM(E196:I196)/5</f>
        <v>0</v>
      </c>
      <c r="O196">
        <f>SUM(E196:J196)/6</f>
        <v>0</v>
      </c>
      <c r="P196">
        <f>SUM(E196:K196)/7</f>
        <v>0</v>
      </c>
      <c r="S196" t="str">
        <f>IF(AND(R190&gt;=0.85,R189&lt;=9),"True","False")</f>
        <v>True</v>
      </c>
      <c r="T196" s="52">
        <v>0</v>
      </c>
      <c r="U196" s="52" t="s">
        <v>101</v>
      </c>
    </row>
    <row r="197" spans="2:21" x14ac:dyDescent="0.2">
      <c r="C197" s="13"/>
      <c r="D197" s="14">
        <f>IF(ISBLANK(D188),"",IF(HOUR(D188)&gt;12,HOUR(D188)+(MINUTE(D188)/60)-24,HOUR(D188)+(MINUTE(D188)/60)))</f>
        <v>-0.25</v>
      </c>
      <c r="E197" s="14">
        <f t="shared" ref="E197:K197" si="146">IF(ISBLANK(E188),"",IF(HOUR(E188)&gt;12,HOUR(E188)+(MINUTE(E188)/60)-24,HOUR(E188)+(MINUTE(E188)/60)))</f>
        <v>0</v>
      </c>
      <c r="F197" s="14">
        <f t="shared" si="146"/>
        <v>0</v>
      </c>
      <c r="G197" s="14">
        <f t="shared" si="146"/>
        <v>0</v>
      </c>
      <c r="H197" s="14">
        <f t="shared" si="146"/>
        <v>0</v>
      </c>
      <c r="I197" s="14">
        <f t="shared" si="146"/>
        <v>0</v>
      </c>
      <c r="J197" s="14">
        <f t="shared" si="146"/>
        <v>0</v>
      </c>
      <c r="K197" s="14">
        <f t="shared" si="146"/>
        <v>0</v>
      </c>
      <c r="L197">
        <f t="shared" ref="L197:L201" si="147">SUM(E197:K197)/$M$7</f>
        <v>0</v>
      </c>
      <c r="N197">
        <f>SUM(E197:I197)/5</f>
        <v>0</v>
      </c>
      <c r="O197">
        <f>SUM(E197:J197)/6</f>
        <v>0</v>
      </c>
      <c r="P197">
        <f>SUM(E197:K197)/7</f>
        <v>0</v>
      </c>
      <c r="S197" t="str">
        <f>IF(AND(R190&gt;=0.8,R189&gt;1),"True","False")</f>
        <v>True</v>
      </c>
      <c r="T197" s="52">
        <v>0</v>
      </c>
      <c r="U197" s="52" t="s">
        <v>101</v>
      </c>
    </row>
    <row r="198" spans="2:21" x14ac:dyDescent="0.2">
      <c r="C198" s="13"/>
      <c r="D198" s="14">
        <f>IF(ISBLANK(D192),"",HOUR(D192)+(MINUTE(D192)/60))</f>
        <v>7</v>
      </c>
      <c r="E198" s="14">
        <f t="shared" ref="E198:K198" si="148">IF(ISBLANK(E192),"",HOUR(E192)+(MINUTE(E192)/60))</f>
        <v>0</v>
      </c>
      <c r="F198" s="14">
        <f t="shared" si="148"/>
        <v>0</v>
      </c>
      <c r="G198" s="14">
        <f t="shared" si="148"/>
        <v>0</v>
      </c>
      <c r="H198" s="14">
        <f t="shared" si="148"/>
        <v>0</v>
      </c>
      <c r="I198" s="14">
        <f t="shared" si="148"/>
        <v>0</v>
      </c>
      <c r="J198" s="14">
        <f t="shared" si="148"/>
        <v>0</v>
      </c>
      <c r="K198" s="14">
        <f t="shared" si="148"/>
        <v>0</v>
      </c>
      <c r="L198">
        <f t="shared" si="147"/>
        <v>0</v>
      </c>
      <c r="N198">
        <f>SUM(E198:I198)/5</f>
        <v>0</v>
      </c>
      <c r="O198">
        <f>SUM(E198:J198)/6</f>
        <v>0</v>
      </c>
      <c r="P198">
        <f>SUM(E198:K198)/7</f>
        <v>0</v>
      </c>
      <c r="S198" t="str">
        <f>IF(AND(R190&lt;0.8,R189&gt;9),"True","False")</f>
        <v>False</v>
      </c>
      <c r="T198" s="52">
        <v>0</v>
      </c>
      <c r="U198" s="52" t="s">
        <v>101</v>
      </c>
    </row>
    <row r="199" spans="2:21" x14ac:dyDescent="0.2">
      <c r="C199" s="13"/>
      <c r="D199" s="14">
        <f>IF(ISBLANK(D193),"",HOUR(D193)+(MINUTE(D193)/60))</f>
        <v>8</v>
      </c>
      <c r="E199" s="14">
        <f t="shared" ref="E199:K199" si="149">IF(ISBLANK(E193),"",HOUR(E193)+(MINUTE(E193)/60))</f>
        <v>0</v>
      </c>
      <c r="F199" s="14">
        <f t="shared" si="149"/>
        <v>0</v>
      </c>
      <c r="G199" s="14">
        <f t="shared" si="149"/>
        <v>0</v>
      </c>
      <c r="H199" s="14">
        <f t="shared" si="149"/>
        <v>0</v>
      </c>
      <c r="I199" s="14">
        <f t="shared" si="149"/>
        <v>0</v>
      </c>
      <c r="J199" s="14">
        <f t="shared" si="149"/>
        <v>0</v>
      </c>
      <c r="K199" s="14">
        <f t="shared" si="149"/>
        <v>0</v>
      </c>
      <c r="L199">
        <f t="shared" si="147"/>
        <v>0</v>
      </c>
      <c r="N199">
        <f>SUM(E199:I199)/5</f>
        <v>0</v>
      </c>
      <c r="O199">
        <f>SUM(E199:J199)/6</f>
        <v>0</v>
      </c>
      <c r="P199">
        <f>SUM(E199:K199)/7</f>
        <v>0</v>
      </c>
      <c r="S199" t="str">
        <f>IF(AND(R190&lt;0.8,R189&lt;=9),"True","False")</f>
        <v>False</v>
      </c>
      <c r="T199" s="52">
        <v>-15</v>
      </c>
      <c r="U199" s="52" t="s">
        <v>102</v>
      </c>
    </row>
    <row r="200" spans="2:21" x14ac:dyDescent="0.2">
      <c r="C200" s="13"/>
      <c r="D200" s="14">
        <f>IF(ISBLANK(D188),"", IF(ISBLANK(D193),"",24*IF(D188&gt;D193,D193+1-D188,D193-D188)))</f>
        <v>8.2499999999999964</v>
      </c>
      <c r="E200" s="14">
        <f t="shared" ref="E200:K200" si="150">IF(ISBLANK(E188),"", IF(ISBLANK(E193),"",24*IF(E188&gt;E193,E193+1-E188,E193-E188)))</f>
        <v>0</v>
      </c>
      <c r="F200" s="14">
        <f t="shared" si="150"/>
        <v>0</v>
      </c>
      <c r="G200" s="14">
        <f t="shared" si="150"/>
        <v>0</v>
      </c>
      <c r="H200" s="14">
        <f t="shared" si="150"/>
        <v>0</v>
      </c>
      <c r="I200" s="14">
        <f t="shared" si="150"/>
        <v>0</v>
      </c>
      <c r="J200" s="14">
        <f t="shared" si="150"/>
        <v>0</v>
      </c>
      <c r="K200" s="14">
        <f t="shared" si="150"/>
        <v>0</v>
      </c>
      <c r="L200">
        <f t="shared" si="147"/>
        <v>0</v>
      </c>
    </row>
    <row r="201" spans="2:21" x14ac:dyDescent="0.2">
      <c r="C201" s="13"/>
      <c r="D201" s="14">
        <f>IF(ISBLANK(D202),"",(IF(ISBLANK(D189),"",IF(ISBLANK(D191),"",D200-((D189+D191)/60)-(D199-D198)))))</f>
        <v>5.7499999999999964</v>
      </c>
      <c r="E201" s="14">
        <f t="shared" ref="E201:K201" si="151">IF(ISBLANK(E202),"",(IF(ISBLANK(E189),"",IF(ISBLANK(E191),"",E200-((E189+E191)/60)-(E199-E198)))))</f>
        <v>0</v>
      </c>
      <c r="F201" s="14">
        <f t="shared" si="151"/>
        <v>0</v>
      </c>
      <c r="G201" s="14">
        <f t="shared" si="151"/>
        <v>0</v>
      </c>
      <c r="H201" s="14">
        <f t="shared" si="151"/>
        <v>0</v>
      </c>
      <c r="I201" s="14">
        <f t="shared" si="151"/>
        <v>0</v>
      </c>
      <c r="J201" s="14">
        <f t="shared" si="151"/>
        <v>0</v>
      </c>
      <c r="K201" s="14">
        <f t="shared" si="151"/>
        <v>0</v>
      </c>
      <c r="L201">
        <f t="shared" si="147"/>
        <v>0</v>
      </c>
    </row>
    <row r="202" spans="2:21" x14ac:dyDescent="0.2">
      <c r="C202" s="15" t="s">
        <v>27</v>
      </c>
      <c r="D202" s="38">
        <f>IF(ISBLANK(D188),"", IF(ISBLANK(D193),"",IF(D188&gt;D193,D193+1-D188,D193-D188)))</f>
        <v>0.34374999999999989</v>
      </c>
      <c r="E202" s="38">
        <f>IF(ISBLANK(E188),"", IF(ISBLANK(E193),"",IF(E188&gt;E193,E193+1-E188,E193-E188)))</f>
        <v>0</v>
      </c>
      <c r="F202" s="38">
        <f t="shared" ref="F202:K202" si="152">IF(ISBLANK(F188),"", IF(ISBLANK(F193),"",IF(F188&gt;F193,F193+1-F188,F193-F188)))</f>
        <v>0</v>
      </c>
      <c r="G202" s="38">
        <f t="shared" si="152"/>
        <v>0</v>
      </c>
      <c r="H202" s="38">
        <f t="shared" si="152"/>
        <v>0</v>
      </c>
      <c r="I202" s="38">
        <f t="shared" si="152"/>
        <v>0</v>
      </c>
      <c r="J202" s="38">
        <f t="shared" si="152"/>
        <v>0</v>
      </c>
      <c r="K202" s="38">
        <f t="shared" si="152"/>
        <v>0</v>
      </c>
      <c r="N202" s="42">
        <f t="shared" ref="N202:N203" si="153">SUM(E202:I202)/5</f>
        <v>0</v>
      </c>
      <c r="O202" s="42">
        <f t="shared" ref="O202:O203" si="154">SUM(E202:J202)/6</f>
        <v>0</v>
      </c>
      <c r="P202" s="42">
        <f t="shared" ref="P202:P204" si="155">SUM(E202:K202)/7</f>
        <v>0</v>
      </c>
      <c r="S202" t="b">
        <f>ISNUMBER(MATCH("true",S194:S199,0))</f>
        <v>1</v>
      </c>
    </row>
    <row r="203" spans="2:21" x14ac:dyDescent="0.2">
      <c r="C203" s="15" t="s">
        <v>28</v>
      </c>
      <c r="D203" s="38">
        <f>D201/24</f>
        <v>0.23958333333333318</v>
      </c>
      <c r="E203" s="38">
        <f t="shared" ref="E203:K203" si="156">E201/24</f>
        <v>0</v>
      </c>
      <c r="F203" s="38">
        <f t="shared" si="156"/>
        <v>0</v>
      </c>
      <c r="G203" s="38">
        <f t="shared" si="156"/>
        <v>0</v>
      </c>
      <c r="H203" s="38">
        <f t="shared" si="156"/>
        <v>0</v>
      </c>
      <c r="I203" s="38">
        <f t="shared" si="156"/>
        <v>0</v>
      </c>
      <c r="J203" s="38">
        <f t="shared" si="156"/>
        <v>0</v>
      </c>
      <c r="K203" s="38">
        <f t="shared" si="156"/>
        <v>0</v>
      </c>
      <c r="N203" s="42">
        <f t="shared" si="153"/>
        <v>0</v>
      </c>
      <c r="O203" s="42">
        <f t="shared" si="154"/>
        <v>0</v>
      </c>
      <c r="P203" s="42">
        <f t="shared" si="155"/>
        <v>0</v>
      </c>
      <c r="S203">
        <f>MATCH("true",S194:S199,0)</f>
        <v>3</v>
      </c>
    </row>
    <row r="204" spans="2:21" x14ac:dyDescent="0.2">
      <c r="C204" s="15" t="s">
        <v>29</v>
      </c>
      <c r="D204" s="16">
        <f>IF(ISERROR(D203/D202),"",IF(ISBLANK(D203),"",D203/D202))</f>
        <v>0.69696969696969668</v>
      </c>
      <c r="E204" s="16" t="str">
        <f t="shared" ref="E204:K204" si="157">IF(ISERROR(E203/E202),"",IF(ISBLANK(E203),"",E203/E202))</f>
        <v/>
      </c>
      <c r="F204" s="16" t="str">
        <f t="shared" si="157"/>
        <v/>
      </c>
      <c r="G204" s="16" t="str">
        <f t="shared" si="157"/>
        <v/>
      </c>
      <c r="H204" s="16" t="str">
        <f t="shared" si="157"/>
        <v/>
      </c>
      <c r="I204" s="16" t="str">
        <f t="shared" si="157"/>
        <v/>
      </c>
      <c r="J204" s="16" t="str">
        <f t="shared" si="157"/>
        <v/>
      </c>
      <c r="K204" s="16" t="str">
        <f t="shared" si="157"/>
        <v/>
      </c>
      <c r="N204" s="41">
        <f t="shared" ref="N204" si="158">SUM(E204:I204)/5</f>
        <v>0</v>
      </c>
      <c r="O204" s="41">
        <f t="shared" ref="O204" si="159">SUM(E204:J204)/6</f>
        <v>0</v>
      </c>
      <c r="P204" s="41">
        <f t="shared" si="155"/>
        <v>0</v>
      </c>
      <c r="R204" t="s">
        <v>93</v>
      </c>
      <c r="S204">
        <f>IF(S203=1,T194,IF(S203=2,T195,IF(S203=6,T199,T196)))</f>
        <v>0</v>
      </c>
      <c r="T204">
        <v>15</v>
      </c>
    </row>
    <row r="205" spans="2:21" x14ac:dyDescent="0.2">
      <c r="R205" t="s">
        <v>94</v>
      </c>
      <c r="S205" t="str">
        <f>IF(S203=1,U194,IF(S203=2,U195,IF(S203=6,U199,U196)))</f>
        <v> Do not change your Time in Bed</v>
      </c>
    </row>
    <row r="207" spans="2:21" x14ac:dyDescent="0.2">
      <c r="B207" s="238" t="s">
        <v>59</v>
      </c>
      <c r="C207" s="238"/>
      <c r="D207" s="238"/>
      <c r="G207" t="s">
        <v>70</v>
      </c>
      <c r="H207" s="48">
        <v>0.85</v>
      </c>
    </row>
    <row r="208" spans="2:21" x14ac:dyDescent="0.2">
      <c r="B208" s="43"/>
      <c r="C208" s="43" t="s">
        <v>65</v>
      </c>
      <c r="D208" s="44" t="str">
        <f>IF(M185&lt;5,"",IF(M185=5,N186,IF(M185=6,O186,P186)))</f>
        <v/>
      </c>
      <c r="R208" t="s">
        <v>96</v>
      </c>
    </row>
    <row r="209" spans="2:21" x14ac:dyDescent="0.2">
      <c r="B209" s="43"/>
      <c r="C209" s="43" t="s">
        <v>60</v>
      </c>
      <c r="D209" s="44" t="str">
        <f>IF(M185&lt;5,"",IF(M185=5,N187,IF(M185=6,O187,P187)))</f>
        <v/>
      </c>
      <c r="R209" s="49" t="s">
        <v>117</v>
      </c>
      <c r="S209" s="49" t="str">
        <f>'Week 5'!E13</f>
        <v>*Error in calculation</v>
      </c>
    </row>
    <row r="210" spans="2:21" x14ac:dyDescent="0.2">
      <c r="B210" s="43"/>
      <c r="C210" s="43" t="s">
        <v>61</v>
      </c>
      <c r="D210" s="44" t="str">
        <f>IF(M185&lt;5,"",IF(M185=5,N188,IF(M185=6,O188,P188)))</f>
        <v/>
      </c>
      <c r="R210" t="s">
        <v>118</v>
      </c>
      <c r="S210" s="49" t="str">
        <f>'Week 5'!E14</f>
        <v>*Error in calculation</v>
      </c>
    </row>
    <row r="211" spans="2:21" x14ac:dyDescent="0.2">
      <c r="B211" s="45"/>
      <c r="C211" s="45" t="s">
        <v>62</v>
      </c>
      <c r="D211" s="44" t="str">
        <f>IF(M185&lt;5,"",IF(M185=5,N189,IF(M185=6,O189,P189)))</f>
        <v/>
      </c>
    </row>
    <row r="212" spans="2:21" x14ac:dyDescent="0.2">
      <c r="B212" s="45"/>
      <c r="C212" s="45" t="s">
        <v>63</v>
      </c>
      <c r="D212" s="44" t="str">
        <f>IF(M185&lt;5,"",IF(M185=5,N192,IF(M185=6,O192,P192)))</f>
        <v/>
      </c>
      <c r="R212" t="s">
        <v>97</v>
      </c>
      <c r="S212" s="49" t="e">
        <f>IF(S204&lt;0,S209-TIME(0,15,0),S209+TIME(0,S204,0))</f>
        <v>#VALUE!</v>
      </c>
      <c r="T212" s="49" t="e">
        <f>IF(S212&lt;0.229166666666667,0.229166666666667,S212)</f>
        <v>#VALUE!</v>
      </c>
    </row>
    <row r="213" spans="2:21" x14ac:dyDescent="0.2">
      <c r="B213" s="43"/>
      <c r="C213" s="43" t="s">
        <v>64</v>
      </c>
      <c r="D213" s="44" t="str">
        <f>IF(M185&lt;5,"",IF(M185=5,N193,IF(M185=6,O193,P193)))</f>
        <v/>
      </c>
      <c r="R213" t="s">
        <v>98</v>
      </c>
      <c r="S213" s="49" t="e">
        <f>IF(S204&lt;0,S210+TIME(0,15,0),S210-TIME(0,S204,0))</f>
        <v>#VALUE!</v>
      </c>
      <c r="T213">
        <v>1</v>
      </c>
      <c r="U213" s="49" t="e">
        <f>S42-T212</f>
        <v>#VALUE!</v>
      </c>
    </row>
    <row r="214" spans="2:21" x14ac:dyDescent="0.2">
      <c r="C214" t="s">
        <v>72</v>
      </c>
      <c r="D214" s="49" t="str">
        <f>IF(M185&lt;5,"",IF(M185=5,N203,IF(M185=6,O203,P203)))</f>
        <v/>
      </c>
      <c r="R214" t="s">
        <v>127</v>
      </c>
      <c r="S214" s="49" t="e">
        <f>IF(S212&lt;0.229166666666667,U213,S213)</f>
        <v>#VALUE!</v>
      </c>
    </row>
    <row r="215" spans="2:21" x14ac:dyDescent="0.2">
      <c r="C215" t="s">
        <v>73</v>
      </c>
      <c r="D215" s="50" t="str">
        <f>IF(M185&lt;5,"",IF(M185=5,N204,IF(M185=6,O204,P204)))</f>
        <v/>
      </c>
      <c r="R215" t="s">
        <v>126</v>
      </c>
      <c r="S215" s="61" t="e">
        <f>IF((S214)&lt;0,(S214)+T213,(S214))</f>
        <v>#VALUE!</v>
      </c>
    </row>
  </sheetData>
  <mergeCells count="6">
    <mergeCell ref="B207:D207"/>
    <mergeCell ref="B29:D29"/>
    <mergeCell ref="B64:D64"/>
    <mergeCell ref="B99:D99"/>
    <mergeCell ref="B135:D135"/>
    <mergeCell ref="B171:D17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4:R33"/>
  <sheetViews>
    <sheetView topLeftCell="A5" workbookViewId="0">
      <selection activeCell="E7" sqref="E7:K16"/>
    </sheetView>
  </sheetViews>
  <sheetFormatPr baseColWidth="10" defaultColWidth="11" defaultRowHeight="16" x14ac:dyDescent="0.2"/>
  <cols>
    <col min="3" max="3" width="57" customWidth="1"/>
    <col min="9" max="9" width="11" customWidth="1"/>
    <col min="10" max="10" width="14.1640625" customWidth="1"/>
    <col min="17" max="17" width="12.6640625" style="2" bestFit="1" customWidth="1"/>
    <col min="18" max="18" width="12.33203125" style="2" bestFit="1" customWidth="1"/>
  </cols>
  <sheetData>
    <row r="4" spans="2:18" x14ac:dyDescent="0.2">
      <c r="B4" t="s">
        <v>103</v>
      </c>
    </row>
    <row r="5" spans="2:18" x14ac:dyDescent="0.2">
      <c r="Q5" s="1" t="s">
        <v>53</v>
      </c>
      <c r="R5" s="2" t="s">
        <v>30</v>
      </c>
    </row>
    <row r="6" spans="2:18" x14ac:dyDescent="0.2">
      <c r="C6" t="s">
        <v>24</v>
      </c>
      <c r="D6" t="s">
        <v>58</v>
      </c>
      <c r="E6" t="s">
        <v>17</v>
      </c>
      <c r="F6" t="s">
        <v>18</v>
      </c>
      <c r="G6" t="s">
        <v>19</v>
      </c>
      <c r="H6" t="s">
        <v>20</v>
      </c>
      <c r="I6" t="s">
        <v>21</v>
      </c>
      <c r="J6" t="s">
        <v>22</v>
      </c>
      <c r="K6" t="s">
        <v>23</v>
      </c>
      <c r="Q6" s="1" t="s">
        <v>31</v>
      </c>
      <c r="R6" s="2" t="s">
        <v>32</v>
      </c>
    </row>
    <row r="7" spans="2:18" ht="20" x14ac:dyDescent="0.2">
      <c r="B7" s="19" t="s">
        <v>7</v>
      </c>
      <c r="C7" s="20" t="s">
        <v>0</v>
      </c>
      <c r="D7" s="58">
        <v>40544</v>
      </c>
      <c r="E7" s="58">
        <v>41689</v>
      </c>
      <c r="F7" s="58">
        <v>41690</v>
      </c>
      <c r="G7" s="58">
        <v>41691</v>
      </c>
      <c r="H7" s="58">
        <v>41692</v>
      </c>
      <c r="I7" s="58">
        <v>41693</v>
      </c>
      <c r="J7" s="58">
        <v>41694</v>
      </c>
      <c r="K7" s="59">
        <v>41696</v>
      </c>
      <c r="Q7" s="1" t="s">
        <v>33</v>
      </c>
      <c r="R7" s="2" t="s">
        <v>34</v>
      </c>
    </row>
    <row r="8" spans="2:18" ht="20" x14ac:dyDescent="0.2">
      <c r="B8" s="29" t="s">
        <v>8</v>
      </c>
      <c r="C8" s="30" t="s">
        <v>25</v>
      </c>
      <c r="D8" s="31">
        <v>30</v>
      </c>
      <c r="E8" s="31">
        <v>30</v>
      </c>
      <c r="F8" s="31">
        <v>60</v>
      </c>
      <c r="G8" s="31">
        <v>40</v>
      </c>
      <c r="H8" s="31">
        <v>30</v>
      </c>
      <c r="I8" s="31">
        <v>0</v>
      </c>
      <c r="J8" s="31">
        <v>0</v>
      </c>
      <c r="K8" s="32">
        <v>20</v>
      </c>
      <c r="Q8" s="1" t="s">
        <v>35</v>
      </c>
      <c r="R8" s="2" t="s">
        <v>36</v>
      </c>
    </row>
    <row r="9" spans="2:18" ht="20" x14ac:dyDescent="0.2">
      <c r="B9" s="21" t="s">
        <v>9</v>
      </c>
      <c r="C9" s="22" t="s">
        <v>1</v>
      </c>
      <c r="D9" s="23">
        <v>0.97916666666666663</v>
      </c>
      <c r="E9" s="23">
        <v>0.92361111111111116</v>
      </c>
      <c r="F9" s="23">
        <v>0.95833333333333337</v>
      </c>
      <c r="G9" s="23">
        <v>0.97222222222222221</v>
      </c>
      <c r="H9" s="23">
        <v>0.95833333333333337</v>
      </c>
      <c r="I9" s="23">
        <v>0.91666666666666663</v>
      </c>
      <c r="J9" s="23">
        <v>0.92361111111111116</v>
      </c>
      <c r="K9" s="24">
        <v>0.9375</v>
      </c>
      <c r="Q9" s="1" t="s">
        <v>37</v>
      </c>
      <c r="R9" s="2" t="s">
        <v>38</v>
      </c>
    </row>
    <row r="10" spans="2:18" ht="20" x14ac:dyDescent="0.2">
      <c r="B10" s="29" t="s">
        <v>10</v>
      </c>
      <c r="C10" s="30" t="s">
        <v>2</v>
      </c>
      <c r="D10" s="33">
        <v>0.98958333333333337</v>
      </c>
      <c r="E10" s="33">
        <v>0.9375</v>
      </c>
      <c r="F10" s="33">
        <v>0.97222222222222221</v>
      </c>
      <c r="G10" s="33">
        <v>0.97222222222222221</v>
      </c>
      <c r="H10" s="33">
        <v>0.97222222222222221</v>
      </c>
      <c r="I10" s="33">
        <v>0.94444444444444453</v>
      </c>
      <c r="J10" s="33">
        <v>0.95138888888888884</v>
      </c>
      <c r="K10" s="34">
        <v>0.94444444444444453</v>
      </c>
      <c r="Q10" s="1" t="s">
        <v>39</v>
      </c>
      <c r="R10" s="2" t="s">
        <v>40</v>
      </c>
    </row>
    <row r="11" spans="2:18" ht="20" x14ac:dyDescent="0.2">
      <c r="B11" s="25" t="s">
        <v>11</v>
      </c>
      <c r="C11" s="26" t="s">
        <v>16</v>
      </c>
      <c r="D11" s="27">
        <v>30</v>
      </c>
      <c r="E11" s="27">
        <v>30</v>
      </c>
      <c r="F11" s="27">
        <v>50</v>
      </c>
      <c r="G11" s="27">
        <v>90</v>
      </c>
      <c r="H11" s="27">
        <v>10</v>
      </c>
      <c r="I11" s="27">
        <v>30</v>
      </c>
      <c r="J11" s="27">
        <v>20</v>
      </c>
      <c r="K11" s="28">
        <v>20</v>
      </c>
      <c r="Q11" s="1" t="s">
        <v>41</v>
      </c>
      <c r="R11" s="2" t="s">
        <v>42</v>
      </c>
    </row>
    <row r="12" spans="2:18" ht="20" x14ac:dyDescent="0.2">
      <c r="B12" s="35" t="s">
        <v>12</v>
      </c>
      <c r="C12" s="36" t="s">
        <v>3</v>
      </c>
      <c r="D12" s="31">
        <v>2</v>
      </c>
      <c r="E12" s="31">
        <v>3</v>
      </c>
      <c r="F12" s="31">
        <v>3</v>
      </c>
      <c r="G12" s="31">
        <v>2</v>
      </c>
      <c r="H12" s="31">
        <v>0</v>
      </c>
      <c r="I12" s="31">
        <v>2</v>
      </c>
      <c r="J12" s="31">
        <v>0</v>
      </c>
      <c r="K12" s="32">
        <v>2</v>
      </c>
      <c r="Q12" s="1" t="s">
        <v>43</v>
      </c>
      <c r="R12" s="2" t="s">
        <v>44</v>
      </c>
    </row>
    <row r="13" spans="2:18" ht="20" x14ac:dyDescent="0.2">
      <c r="B13" s="21" t="s">
        <v>13</v>
      </c>
      <c r="C13" s="22" t="s">
        <v>4</v>
      </c>
      <c r="D13" s="27">
        <v>60</v>
      </c>
      <c r="E13" s="39">
        <v>50</v>
      </c>
      <c r="F13" s="39">
        <v>90</v>
      </c>
      <c r="G13" s="39">
        <v>20</v>
      </c>
      <c r="H13" s="39">
        <v>0</v>
      </c>
      <c r="I13" s="39">
        <v>50</v>
      </c>
      <c r="J13" s="39">
        <v>0</v>
      </c>
      <c r="K13" s="40">
        <v>70</v>
      </c>
      <c r="Q13" s="1" t="s">
        <v>45</v>
      </c>
      <c r="R13" s="2" t="s">
        <v>46</v>
      </c>
    </row>
    <row r="14" spans="2:18" ht="20" x14ac:dyDescent="0.2">
      <c r="B14" s="35" t="s">
        <v>14</v>
      </c>
      <c r="C14" s="36" t="s">
        <v>5</v>
      </c>
      <c r="D14" s="33">
        <v>0.29166666666666669</v>
      </c>
      <c r="E14" s="33">
        <v>0.25</v>
      </c>
      <c r="F14" s="33">
        <v>0.24305555555555555</v>
      </c>
      <c r="G14" s="33">
        <v>0.25694444444444448</v>
      </c>
      <c r="H14" s="33">
        <v>0.25</v>
      </c>
      <c r="I14" s="33">
        <v>0.22916666666666666</v>
      </c>
      <c r="J14" s="33">
        <v>0.27777777777777779</v>
      </c>
      <c r="K14" s="34">
        <v>0.27777777777777779</v>
      </c>
      <c r="Q14" s="1" t="s">
        <v>47</v>
      </c>
      <c r="R14" s="2" t="s">
        <v>48</v>
      </c>
    </row>
    <row r="15" spans="2:18" ht="20" x14ac:dyDescent="0.2">
      <c r="B15" s="21" t="s">
        <v>15</v>
      </c>
      <c r="C15" s="22" t="s">
        <v>6</v>
      </c>
      <c r="D15" s="23">
        <v>0.33333333333333331</v>
      </c>
      <c r="E15" s="23">
        <v>0.27083333333333331</v>
      </c>
      <c r="F15" s="23">
        <v>0.27083333333333331</v>
      </c>
      <c r="G15" s="23">
        <v>0.2638888888888889</v>
      </c>
      <c r="H15" s="23">
        <v>0.27083333333333331</v>
      </c>
      <c r="I15" s="23">
        <v>0.2638888888888889</v>
      </c>
      <c r="J15" s="23">
        <v>0.29166666666666669</v>
      </c>
      <c r="K15" s="24">
        <v>0.29166666666666669</v>
      </c>
      <c r="Q15" s="1" t="s">
        <v>49</v>
      </c>
      <c r="R15" s="2" t="s">
        <v>50</v>
      </c>
    </row>
    <row r="16" spans="2:18" ht="20" x14ac:dyDescent="0.2">
      <c r="B16" s="54" t="s">
        <v>26</v>
      </c>
      <c r="C16" s="51" t="s">
        <v>137</v>
      </c>
      <c r="D16" s="31">
        <v>30</v>
      </c>
      <c r="E16" s="31">
        <v>30</v>
      </c>
      <c r="F16" s="31">
        <v>40</v>
      </c>
      <c r="G16" s="31">
        <v>10</v>
      </c>
      <c r="H16" s="31">
        <v>30</v>
      </c>
      <c r="I16" s="31">
        <v>50</v>
      </c>
      <c r="J16" s="31">
        <v>5</v>
      </c>
      <c r="K16" s="32"/>
      <c r="Q16" s="1" t="s">
        <v>51</v>
      </c>
      <c r="R16" s="2" t="s">
        <v>52</v>
      </c>
    </row>
    <row r="17" spans="2:18" ht="20" x14ac:dyDescent="0.2">
      <c r="B17" s="55" t="s">
        <v>104</v>
      </c>
      <c r="C17" s="53" t="s">
        <v>105</v>
      </c>
      <c r="D17" s="56" t="s">
        <v>109</v>
      </c>
      <c r="E17" s="56"/>
      <c r="F17" s="56"/>
      <c r="G17" s="56"/>
      <c r="H17" s="56"/>
      <c r="I17" s="56"/>
      <c r="J17" s="56"/>
      <c r="K17" s="57"/>
    </row>
    <row r="22" spans="2:18" x14ac:dyDescent="0.2">
      <c r="C22" t="s">
        <v>74</v>
      </c>
      <c r="D22" t="s">
        <v>58</v>
      </c>
      <c r="E22" t="s">
        <v>17</v>
      </c>
      <c r="F22" t="s">
        <v>18</v>
      </c>
      <c r="G22" t="s">
        <v>19</v>
      </c>
      <c r="H22" t="s">
        <v>20</v>
      </c>
      <c r="I22" t="s">
        <v>21</v>
      </c>
      <c r="J22" t="s">
        <v>22</v>
      </c>
      <c r="K22" t="s">
        <v>23</v>
      </c>
    </row>
    <row r="23" spans="2:18" ht="20" x14ac:dyDescent="0.2">
      <c r="B23" s="19" t="s">
        <v>7</v>
      </c>
      <c r="C23" s="20" t="s">
        <v>0</v>
      </c>
      <c r="D23" s="58">
        <v>40544</v>
      </c>
      <c r="E23" s="58">
        <v>41383</v>
      </c>
      <c r="F23" s="58">
        <v>41384</v>
      </c>
      <c r="G23" s="58">
        <v>41385</v>
      </c>
      <c r="H23" s="58">
        <v>41386</v>
      </c>
      <c r="I23" s="58">
        <v>41387</v>
      </c>
      <c r="J23" s="58">
        <v>41388</v>
      </c>
      <c r="K23" s="59">
        <v>41389</v>
      </c>
    </row>
    <row r="24" spans="2:18" ht="20" x14ac:dyDescent="0.2">
      <c r="B24" s="29" t="s">
        <v>8</v>
      </c>
      <c r="C24" s="30" t="s">
        <v>25</v>
      </c>
      <c r="D24" s="31">
        <v>30</v>
      </c>
      <c r="E24" s="31">
        <v>10</v>
      </c>
      <c r="F24" s="31">
        <v>20</v>
      </c>
      <c r="G24" s="31">
        <v>30</v>
      </c>
      <c r="H24" s="31">
        <v>40</v>
      </c>
      <c r="I24" s="31">
        <v>50</v>
      </c>
      <c r="J24" s="31">
        <v>0</v>
      </c>
      <c r="K24" s="32">
        <v>0</v>
      </c>
    </row>
    <row r="25" spans="2:18" ht="20" x14ac:dyDescent="0.2">
      <c r="B25" s="21" t="s">
        <v>9</v>
      </c>
      <c r="C25" s="22" t="s">
        <v>1</v>
      </c>
      <c r="D25" s="23">
        <v>0.97916666666666663</v>
      </c>
      <c r="E25" s="23">
        <v>0.92361111111111116</v>
      </c>
      <c r="F25" s="23">
        <v>0.95833333333333337</v>
      </c>
      <c r="G25" s="23">
        <v>0.97222222222222221</v>
      </c>
      <c r="H25" s="23">
        <v>0.95833333333333337</v>
      </c>
      <c r="I25" s="23">
        <v>0.91666666666666663</v>
      </c>
      <c r="J25" s="23">
        <v>0.92361111111111116</v>
      </c>
      <c r="K25" s="24">
        <v>0.9375</v>
      </c>
    </row>
    <row r="26" spans="2:18" ht="20" x14ac:dyDescent="0.2">
      <c r="B26" s="29" t="s">
        <v>10</v>
      </c>
      <c r="C26" s="30" t="s">
        <v>2</v>
      </c>
      <c r="D26" s="33">
        <v>0.98958333333333337</v>
      </c>
      <c r="E26" s="33">
        <v>0.9375</v>
      </c>
      <c r="F26" s="33">
        <v>0.97222222222222221</v>
      </c>
      <c r="G26" s="33">
        <v>0.97222222222222221</v>
      </c>
      <c r="H26" s="33">
        <v>0.97222222222222221</v>
      </c>
      <c r="I26" s="33">
        <v>0.94444444444444453</v>
      </c>
      <c r="J26" s="33">
        <v>0.95138888888888884</v>
      </c>
      <c r="K26" s="34">
        <v>0.94444444444444453</v>
      </c>
      <c r="Q26"/>
      <c r="R26"/>
    </row>
    <row r="27" spans="2:18" ht="20" x14ac:dyDescent="0.2">
      <c r="B27" s="25" t="s">
        <v>11</v>
      </c>
      <c r="C27" s="26" t="s">
        <v>16</v>
      </c>
      <c r="D27" s="27">
        <v>30</v>
      </c>
      <c r="E27" s="27">
        <v>30</v>
      </c>
      <c r="F27" s="27">
        <v>50</v>
      </c>
      <c r="G27" s="27">
        <v>90</v>
      </c>
      <c r="H27" s="27">
        <v>10</v>
      </c>
      <c r="I27" s="27">
        <v>30</v>
      </c>
      <c r="J27" s="27">
        <v>20</v>
      </c>
      <c r="K27" s="28">
        <v>20</v>
      </c>
      <c r="Q27"/>
      <c r="R27"/>
    </row>
    <row r="28" spans="2:18" ht="20" x14ac:dyDescent="0.2">
      <c r="B28" s="35" t="s">
        <v>12</v>
      </c>
      <c r="C28" s="36" t="s">
        <v>3</v>
      </c>
      <c r="D28" s="31">
        <v>2</v>
      </c>
      <c r="E28" s="31">
        <v>1</v>
      </c>
      <c r="F28" s="31">
        <v>2</v>
      </c>
      <c r="G28" s="31">
        <v>1</v>
      </c>
      <c r="H28" s="31">
        <v>0</v>
      </c>
      <c r="I28" s="31">
        <v>2</v>
      </c>
      <c r="J28" s="31">
        <v>0</v>
      </c>
      <c r="K28" s="32">
        <v>2</v>
      </c>
      <c r="Q28"/>
      <c r="R28"/>
    </row>
    <row r="29" spans="2:18" ht="20" x14ac:dyDescent="0.2">
      <c r="B29" s="21" t="s">
        <v>13</v>
      </c>
      <c r="C29" s="22" t="s">
        <v>4</v>
      </c>
      <c r="D29" s="27">
        <v>60</v>
      </c>
      <c r="E29" s="39">
        <v>50</v>
      </c>
      <c r="F29" s="39">
        <v>90</v>
      </c>
      <c r="G29" s="39">
        <v>20</v>
      </c>
      <c r="H29" s="39">
        <v>0</v>
      </c>
      <c r="I29" s="39">
        <v>50</v>
      </c>
      <c r="J29" s="39">
        <v>0</v>
      </c>
      <c r="K29" s="40">
        <v>70</v>
      </c>
      <c r="Q29"/>
      <c r="R29"/>
    </row>
    <row r="30" spans="2:18" ht="20" x14ac:dyDescent="0.2">
      <c r="B30" s="35" t="s">
        <v>14</v>
      </c>
      <c r="C30" s="36" t="s">
        <v>5</v>
      </c>
      <c r="D30" s="33">
        <v>0.29166666666666669</v>
      </c>
      <c r="E30" s="33">
        <v>0.25</v>
      </c>
      <c r="F30" s="33">
        <v>0.24305555555555555</v>
      </c>
      <c r="G30" s="33">
        <v>0.25694444444444448</v>
      </c>
      <c r="H30" s="33">
        <v>0.25</v>
      </c>
      <c r="I30" s="33">
        <v>0.22916666666666666</v>
      </c>
      <c r="J30" s="33">
        <v>0.27777777777777779</v>
      </c>
      <c r="K30" s="34">
        <v>0.27777777777777779</v>
      </c>
      <c r="Q30"/>
      <c r="R30"/>
    </row>
    <row r="31" spans="2:18" ht="20" x14ac:dyDescent="0.2">
      <c r="B31" s="21" t="s">
        <v>15</v>
      </c>
      <c r="C31" s="22" t="s">
        <v>6</v>
      </c>
      <c r="D31" s="23">
        <v>0.33333333333333331</v>
      </c>
      <c r="E31" s="23">
        <v>0.27083333333333331</v>
      </c>
      <c r="F31" s="23">
        <v>0.27083333333333331</v>
      </c>
      <c r="G31" s="23">
        <v>0.2638888888888889</v>
      </c>
      <c r="H31" s="23">
        <v>0.27083333333333331</v>
      </c>
      <c r="I31" s="23">
        <v>0.2638888888888889</v>
      </c>
      <c r="J31" s="23">
        <v>0.29166666666666669</v>
      </c>
      <c r="K31" s="24">
        <v>0.29166666666666669</v>
      </c>
      <c r="Q31"/>
      <c r="R31"/>
    </row>
    <row r="32" spans="2:18" ht="20" x14ac:dyDescent="0.2">
      <c r="B32" s="54" t="s">
        <v>26</v>
      </c>
      <c r="C32" s="51" t="s">
        <v>137</v>
      </c>
      <c r="D32" s="31">
        <v>30</v>
      </c>
      <c r="E32" s="31">
        <v>30</v>
      </c>
      <c r="F32" s="31">
        <v>40</v>
      </c>
      <c r="G32" s="31">
        <v>20</v>
      </c>
      <c r="H32" s="31">
        <v>30</v>
      </c>
      <c r="I32" s="31">
        <v>60</v>
      </c>
      <c r="J32" s="31">
        <v>0</v>
      </c>
      <c r="K32" s="32">
        <v>0</v>
      </c>
      <c r="Q32"/>
      <c r="R32"/>
    </row>
    <row r="33" spans="2:11" ht="20" x14ac:dyDescent="0.2">
      <c r="B33" s="55" t="s">
        <v>104</v>
      </c>
      <c r="C33" s="53" t="s">
        <v>105</v>
      </c>
      <c r="D33" s="56" t="s">
        <v>109</v>
      </c>
      <c r="E33" s="56"/>
      <c r="F33" s="56"/>
      <c r="G33" s="56"/>
      <c r="H33" s="56"/>
      <c r="I33" s="56"/>
      <c r="J33" s="56"/>
      <c r="K33" s="57"/>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calculations!$U$5:$U$9</xm:f>
          </x14:formula1>
          <xm:sqref>D17:K17 D33:K33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Instructions</vt:lpstr>
      <vt:lpstr>Week 1</vt:lpstr>
      <vt:lpstr>Week 2</vt:lpstr>
      <vt:lpstr>Week 3</vt:lpstr>
      <vt:lpstr>Week 4</vt:lpstr>
      <vt:lpstr>Week 5</vt:lpstr>
      <vt:lpstr>Week 6</vt:lpstr>
      <vt:lpstr>calculations</vt:lpstr>
      <vt:lpstr>examples</vt:lpstr>
      <vt:lpstr>Instructions!Print_Area</vt:lpstr>
      <vt:lpstr>'Week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Nelson</dc:creator>
  <cp:lastModifiedBy>PSD</cp:lastModifiedBy>
  <cp:lastPrinted>2018-03-06T19:32:00Z</cp:lastPrinted>
  <dcterms:created xsi:type="dcterms:W3CDTF">2018-02-05T14:32:15Z</dcterms:created>
  <dcterms:modified xsi:type="dcterms:W3CDTF">2020-11-11T06:52:32Z</dcterms:modified>
</cp:coreProperties>
</file>